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BILIDAD" sheetId="1" state="visible" r:id="rId3"/>
    <sheet name="PREC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<sst xmlns="http://schemas.openxmlformats.org/spreadsheetml/2006/main" count="269" uniqueCount="97">
  <si>
    <t xml:space="preserve">Fecha</t>
  </si>
  <si>
    <t xml:space="preserve">Numero de Telefono</t>
  </si>
  <si>
    <t xml:space="preserve">Producto</t>
  </si>
  <si>
    <t xml:space="preserve">Nombre</t>
  </si>
  <si>
    <t xml:space="preserve">Precio Original</t>
  </si>
  <si>
    <t xml:space="preserve">Precio Final</t>
  </si>
  <si>
    <t xml:space="preserve">Comision Lideres Locales</t>
  </si>
  <si>
    <t xml:space="preserve">FLORE</t>
  </si>
  <si>
    <t xml:space="preserve">Código</t>
  </si>
  <si>
    <t xml:space="preserve">Precio con Comisiones (Precio Final)</t>
  </si>
  <si>
    <t xml:space="preserve">Comisión</t>
  </si>
  <si>
    <t xml:space="preserve">Dueña </t>
  </si>
  <si>
    <t xml:space="preserve">Personalizado</t>
  </si>
  <si>
    <t xml:space="preserve">Detalle Especial</t>
  </si>
  <si>
    <t xml:space="preserve">Pasión Imperial</t>
  </si>
  <si>
    <t xml:space="preserve">Detalle Rosado</t>
  </si>
  <si>
    <t xml:space="preserve">Fusión Romántica</t>
  </si>
  <si>
    <t xml:space="preserve">Protagonista Solar</t>
  </si>
  <si>
    <t xml:space="preserve">Gesto del Alma</t>
  </si>
  <si>
    <t xml:space="preserve">Sol y Pasión</t>
  </si>
  <si>
    <t xml:space="preserve">Sinfonía de Ternura</t>
  </si>
  <si>
    <t xml:space="preserve">Esperanza Amarilla</t>
  </si>
  <si>
    <t xml:space="preserve">Pequeño Encanto</t>
  </si>
  <si>
    <t xml:space="preserve">Detalle Sincero</t>
  </si>
  <si>
    <t xml:space="preserve">Presencia Magnética</t>
  </si>
  <si>
    <t xml:space="preserve">Pasión en Caja</t>
  </si>
  <si>
    <t xml:space="preserve">Personalidad Solar</t>
  </si>
  <si>
    <t xml:space="preserve">Premium Exclusivo</t>
  </si>
  <si>
    <t xml:space="preserve">Grandeza Memorable</t>
  </si>
  <si>
    <t xml:space="preserve">Dulzura Rosada</t>
  </si>
  <si>
    <t xml:space="preserve">Armonía Perfecta</t>
  </si>
  <si>
    <t xml:space="preserve">Energía Natural</t>
  </si>
  <si>
    <t xml:space="preserve">Declaración Absoluta</t>
  </si>
  <si>
    <t xml:space="preserve">Sol en Cristal</t>
  </si>
  <si>
    <t xml:space="preserve">Corona del Amor</t>
  </si>
  <si>
    <t xml:space="preserve">Corazón de Rosas</t>
  </si>
  <si>
    <t xml:space="preserve">Distinción Natural</t>
  </si>
  <si>
    <t xml:space="preserve">Dulzura Natural</t>
  </si>
  <si>
    <t xml:space="preserve">Clásico Atemporal</t>
  </si>
  <si>
    <t xml:space="preserve">Armonía Roja</t>
  </si>
  <si>
    <t xml:space="preserve">Enamoramiento Puro</t>
  </si>
  <si>
    <t xml:space="preserve">Contraste Romántico</t>
  </si>
  <si>
    <t xml:space="preserve">Entrega Total</t>
  </si>
  <si>
    <t xml:space="preserve">Monumento al Amor</t>
  </si>
  <si>
    <t xml:space="preserve">Equilibrio Perfecto</t>
  </si>
  <si>
    <t xml:space="preserve">Clásico Envuelto</t>
  </si>
  <si>
    <t xml:space="preserve">Rojo Profundo</t>
  </si>
  <si>
    <t xml:space="preserve">Caja Girasol</t>
  </si>
  <si>
    <t xml:space="preserve">Impacto Absoluto</t>
  </si>
  <si>
    <t xml:space="preserve">Altar Clásico</t>
  </si>
  <si>
    <t xml:space="preserve">Altar Rosado</t>
  </si>
  <si>
    <t xml:space="preserve">Sofisticación en Rosa</t>
  </si>
  <si>
    <t xml:space="preserve">Romanticismo Auténtico</t>
  </si>
  <si>
    <t xml:space="preserve">Elegancia Clásica</t>
  </si>
  <si>
    <t xml:space="preserve">Dualidad Elegante</t>
  </si>
  <si>
    <t xml:space="preserve">Frescura Radiante</t>
  </si>
  <si>
    <t xml:space="preserve">Dulce Conquista</t>
  </si>
  <si>
    <t xml:space="preserve">Amor en Caja</t>
  </si>
  <si>
    <t xml:space="preserve">Brillo Natural</t>
  </si>
  <si>
    <t xml:space="preserve">Corazón Exclusivo</t>
  </si>
  <si>
    <t xml:space="preserve">Equilibrio Divino</t>
  </si>
  <si>
    <t xml:space="preserve">Lujo Completo</t>
  </si>
  <si>
    <t xml:space="preserve">Clásico Nupcial</t>
  </si>
  <si>
    <t xml:space="preserve">Majestuosidad Roja</t>
  </si>
  <si>
    <t xml:space="preserve">Esencia Natural</t>
  </si>
  <si>
    <t xml:space="preserve">Poder Imperial</t>
  </si>
  <si>
    <t xml:space="preserve">Caja Solar</t>
  </si>
  <si>
    <t xml:space="preserve">Corona de Reina</t>
  </si>
  <si>
    <t xml:space="preserve">Novia Radiante</t>
  </si>
  <si>
    <t xml:space="preserve">Corazón Violeta</t>
  </si>
  <si>
    <t xml:space="preserve">Corona Homenaje</t>
  </si>
  <si>
    <t xml:space="preserve">Impacto Nupcial</t>
  </si>
  <si>
    <t xml:space="preserve">Caja Dorada</t>
  </si>
  <si>
    <t xml:space="preserve">Armonía en Blanco</t>
  </si>
  <si>
    <t xml:space="preserve">Luz Radiante</t>
  </si>
  <si>
    <t xml:space="preserve">Energía Dorada</t>
  </si>
  <si>
    <t xml:space="preserve">Frescura Natural</t>
  </si>
  <si>
    <t xml:space="preserve">Fusión Delicada</t>
  </si>
  <si>
    <t xml:space="preserve">Corazón Ternura</t>
  </si>
  <si>
    <t xml:space="preserve">Caja Pasión</t>
  </si>
  <si>
    <t xml:space="preserve">Brillo Dorado</t>
  </si>
  <si>
    <t xml:space="preserve">Alegría Campestre</t>
  </si>
  <si>
    <t xml:space="preserve">Impacto Visual</t>
  </si>
  <si>
    <t xml:space="preserve">Corona Serenidad</t>
  </si>
  <si>
    <t xml:space="preserve">Corazón Bicolor</t>
  </si>
  <si>
    <t xml:space="preserve">Intensidad Clásica</t>
  </si>
  <si>
    <t xml:space="preserve">Ternura en Cristal</t>
  </si>
  <si>
    <t xml:space="preserve">Corazón Eterno</t>
  </si>
  <si>
    <t xml:space="preserve">Corona Recuerdo Rojo</t>
  </si>
  <si>
    <t xml:space="preserve">Corona Paz Celestial</t>
  </si>
  <si>
    <t xml:space="preserve">Gran Esplendor Rojo</t>
  </si>
  <si>
    <t xml:space="preserve">Cien Razones</t>
  </si>
  <si>
    <t xml:space="preserve">Pasión en Jarrón</t>
  </si>
  <si>
    <t xml:space="preserve">Única Entre Todas</t>
  </si>
  <si>
    <t xml:space="preserve">Cofre Romántico</t>
  </si>
  <si>
    <t xml:space="preserve">Pureza Absoluta</t>
  </si>
  <si>
    <t xml:space="preserve">Cien Sueños Rosados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</si>
</sst>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\$#,##0"/>
  </numFmts>
  <fonts count="8">
    <font>
      <sz val="10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Verdan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Verdana"/>
      <family val="0"/>
      <charset val="1"/>
    </font>
    <font>
      <sz val="11"/>
      <color rgb="FF000000"/>
      <name val="&quot;Aptos Narrow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F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2" min="2" style="1" width="14.33"/>
    <col collapsed="false" customWidth="true" hidden="false" outlineLevel="0" max="4" min="4" style="1" width="18.44"/>
    <col collapsed="false" customWidth="true" hidden="false" outlineLevel="0" max="5" min="5" style="1" width="13.89"/>
    <col collapsed="false" customWidth="true" hidden="false" outlineLevel="0" max="6" min="6" style="1" width="14.11"/>
    <col collapsed="false" customWidth="true" hidden="false" outlineLevel="0" max="7" min="7" style="1" width="15.11"/>
    <col collapsed="false" customWidth="true" hidden="false" outlineLevel="0" max="8" min="8" style="1" width="16.1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5.75" hidden="false" customHeight="true" outlineLevel="0" collapsed="false">
      <c r="A2" s="4"/>
      <c r="B2" s="5"/>
      <c r="C2" s="5"/>
      <c r="D2" s="5" t="str">
        <f aca="false">IF(C2="","",VLOOKUP(C2,PRECIOS!A:B,2,FALSE()))</f>
        <v/>
      </c>
      <c r="E2" s="6" t="str">
        <f aca="false">IF(C2="","",VLOOKUP(C2,PRECIOS!A:C,3,FALSE()))</f>
        <v/>
      </c>
      <c r="F2" s="6" t="str">
        <f aca="false">IF(C2="","",VLOOKUP(C2,PRECIOS!A:D,4,FALSE()))</f>
        <v/>
      </c>
      <c r="G2" s="7" t="str">
        <f aca="false">IF(F2="","",F2*0.2)</f>
        <v/>
      </c>
      <c r="H2" s="6" t="str">
        <f aca="false">IF(F2="","",F2*0.8)</f>
        <v/>
      </c>
    </row>
    <row r="3" customFormat="false" ht="15.75" hidden="false" customHeight="true" outlineLevel="0" collapsed="false">
      <c r="A3" s="4"/>
      <c r="B3" s="5"/>
      <c r="C3" s="5"/>
      <c r="D3" s="5" t="str">
        <f aca="false">IF(C3="","",VLOOKUP(C3,PRECIOS!A:B,2,FALSE()))</f>
        <v/>
      </c>
      <c r="E3" s="6" t="str">
        <f aca="false">IF(C3="","",VLOOKUP(C3,PRECIOS!A:C,3,FALSE()))</f>
        <v/>
      </c>
      <c r="F3" s="6" t="str">
        <f aca="false">IF(C3="","",VLOOKUP(C3,PRECIOS!A:D,4,FALSE()))</f>
        <v/>
      </c>
      <c r="G3" s="7" t="str">
        <f aca="false">IF(F3="","",F3*0.2)</f>
        <v/>
      </c>
      <c r="H3" s="6" t="str">
        <f aca="false">IF(F3="","",F3*0.8)</f>
        <v/>
      </c>
    </row>
    <row r="4" customFormat="false" ht="15.75" hidden="false" customHeight="true" outlineLevel="0" collapsed="false">
      <c r="A4" s="4"/>
      <c r="B4" s="5"/>
      <c r="C4" s="5"/>
      <c r="D4" s="5" t="str">
        <f aca="false">IF(C4="","",VLOOKUP(C4,PRECIOS!A:B,2,FALSE()))</f>
        <v/>
      </c>
      <c r="E4" s="5" t="str">
        <f aca="false">IF(C4="","",VLOOKUP(C4,PRECIOS!A:C,3,FALSE()))</f>
        <v/>
      </c>
      <c r="F4" s="6" t="str">
        <f aca="false">IF(C4="","",VLOOKUP(C4,PRECIOS!A:D,4,FALSE()))</f>
        <v/>
      </c>
      <c r="G4" s="7" t="str">
        <f aca="false">IF(F4="","",F4*0.2)</f>
        <v/>
      </c>
      <c r="H4" s="6" t="str">
        <f aca="false">IF(F4="","",F4*0.8)</f>
        <v/>
      </c>
    </row>
    <row r="5" customFormat="false" ht="15.75" hidden="false" customHeight="true" outlineLevel="0" collapsed="false">
      <c r="A5" s="4"/>
      <c r="B5" s="5"/>
      <c r="C5" s="5"/>
      <c r="D5" s="5" t="str">
        <f aca="false">IF(C5="","",VLOOKUP(C5,PRECIOS!A:B,2,FALSE()))</f>
        <v/>
      </c>
      <c r="E5" s="5" t="str">
        <f aca="false">IF(C5="","",VLOOKUP(C5,PRECIOS!A:C,3,FALSE()))</f>
        <v/>
      </c>
      <c r="F5" s="6" t="str">
        <f aca="false">IF(C5="","",VLOOKUP(C5,PRECIOS!A:D,4,FALSE()))</f>
        <v/>
      </c>
      <c r="G5" s="7" t="str">
        <f aca="false">IF(F5="","",F5*0.2)</f>
        <v/>
      </c>
      <c r="H5" s="6" t="str">
        <f aca="false">IF(F5="","",F5*0.8)</f>
        <v/>
      </c>
    </row>
    <row r="6" customFormat="false" ht="15.75" hidden="false" customHeight="true" outlineLevel="0" collapsed="false">
      <c r="A6" s="5"/>
      <c r="B6" s="5"/>
      <c r="C6" s="5"/>
      <c r="D6" s="5" t="str">
        <f aca="false">IF(C6="","",VLOOKUP(C6,PRECIOS!A:B,2,FALSE()))</f>
        <v/>
      </c>
      <c r="E6" s="5" t="str">
        <f aca="false">IF(C6="","",VLOOKUP(C6,PRECIOS!A:C,3,FALSE()))</f>
        <v/>
      </c>
      <c r="F6" s="5" t="str">
        <f aca="false">IF(C6="","",VLOOKUP(C6,PRECIOS!A:D,4,FALSE()))</f>
        <v/>
      </c>
      <c r="G6" s="5" t="str">
        <f aca="false">IF(F6="","",F6*0.2)</f>
        <v/>
      </c>
      <c r="H6" s="5" t="str">
        <f aca="false">IF(F6="","",F6*0.8)</f>
        <v/>
      </c>
      <c r="I6" s="8" t="n">
        <f aca="false">SUM(G2:G5)</f>
        <v>0</v>
      </c>
    </row>
    <row r="7" customFormat="false" ht="15.75" hidden="false" customHeight="true" outlineLevel="0" collapsed="false">
      <c r="A7" s="9"/>
      <c r="D7" s="1" t="str">
        <f aca="false">IF(C7="","",VLOOKUP(C7,PRECIOS!A:B,2,FALSE()))</f>
        <v/>
      </c>
      <c r="E7" s="1" t="str">
        <f aca="false">IF(C7="","",VLOOKUP(C7,PRECIOS!A:C,3,FALSE()))</f>
        <v/>
      </c>
      <c r="F7" s="1" t="str">
        <f aca="false">IF(C7="","",VLOOKUP(C7,PRECIOS!A:D,4,FALSE()))</f>
        <v/>
      </c>
      <c r="G7" s="1" t="str">
        <f aca="false">IF(F7="","",F7*0.2)</f>
        <v/>
      </c>
      <c r="H7" s="1" t="str">
        <f aca="false">IF(F7="","",F7*0.8)</f>
        <v/>
      </c>
    </row>
    <row r="8" customFormat="false" ht="15.75" hidden="false" customHeight="true" outlineLevel="0" collapsed="false">
      <c r="A8" s="5"/>
      <c r="B8" s="5"/>
      <c r="C8" s="5"/>
      <c r="D8" s="5" t="str">
        <f aca="false">IF(C8="","",VLOOKUP(C8,PRECIOS!A:B,2,FALSE()))</f>
        <v/>
      </c>
      <c r="E8" s="5" t="str">
        <f aca="false">IF(C8="","",VLOOKUP(C8,PRECIOS!A:C,3,FALSE()))</f>
        <v/>
      </c>
      <c r="F8" s="5" t="str">
        <f aca="false">IF(C8="","",VLOOKUP(C8,PRECIOS!A:D,4,FALSE()))</f>
        <v/>
      </c>
      <c r="G8" s="5" t="str">
        <f aca="false">IF(F8="","",F8*0.2)</f>
        <v/>
      </c>
      <c r="H8" s="5" t="str">
        <f aca="false">IF(F8="","",F8*0.8)</f>
        <v/>
      </c>
    </row>
    <row r="9" customFormat="false" ht="15.75" hidden="false" customHeight="true" outlineLevel="0" collapsed="false">
      <c r="A9" s="5"/>
      <c r="B9" s="5"/>
      <c r="C9" s="5"/>
      <c r="D9" s="5" t="str">
        <f aca="false">IF(C9="","",VLOOKUP(C9,PRECIOS!A:B,2,FALSE()))</f>
        <v/>
      </c>
      <c r="E9" s="5" t="str">
        <f aca="false">IF(C9="","",VLOOKUP(C9,PRECIOS!A:C,3,FALSE()))</f>
        <v/>
      </c>
      <c r="F9" s="5" t="str">
        <f aca="false">IF(C9="","",VLOOKUP(C9,PRECIOS!A:D,4,FALSE()))</f>
        <v/>
      </c>
      <c r="G9" s="5" t="str">
        <f aca="false">IF(F9="","",F9*0.2)</f>
        <v/>
      </c>
      <c r="H9" s="5" t="str">
        <f aca="false">IF(F9="","",F9*0.8)</f>
        <v/>
      </c>
    </row>
    <row r="10" customFormat="false" ht="15.75" hidden="false" customHeight="true" outlineLevel="0" collapsed="false">
      <c r="A10" s="5"/>
      <c r="B10" s="5"/>
      <c r="C10" s="5"/>
      <c r="D10" s="5" t="str">
        <f aca="false">IF(C10="","",VLOOKUP(C10,PRECIOS!A:B,2,FALSE()))</f>
        <v/>
      </c>
      <c r="E10" s="5" t="str">
        <f aca="false">IF(C10="","",VLOOKUP(C10,PRECIOS!A:C,3,FALSE()))</f>
        <v/>
      </c>
      <c r="F10" s="5" t="str">
        <f aca="false">IF(C10="","",VLOOKUP(C10,PRECIOS!A:D,4,FALSE()))</f>
        <v/>
      </c>
      <c r="G10" s="5" t="str">
        <f aca="false">IF(F10="","",F10*0.2)</f>
        <v/>
      </c>
      <c r="H10" s="5" t="str">
        <f aca="false">IF(F10="","",F10*0.8)</f>
        <v/>
      </c>
    </row>
    <row r="11" customFormat="false" ht="15.75" hidden="false" customHeight="true" outlineLevel="0" collapsed="false">
      <c r="A11" s="5"/>
      <c r="B11" s="5"/>
      <c r="C11" s="5"/>
      <c r="D11" s="5" t="str">
        <f aca="false">IF(C11="","",VLOOKUP(C11,PRECIOS!A:B,2,FALSE()))</f>
        <v/>
      </c>
      <c r="E11" s="5" t="str">
        <f aca="false">IF(C11="","",VLOOKUP(C11,PRECIOS!A:C,3,FALSE()))</f>
        <v/>
      </c>
      <c r="F11" s="5" t="str">
        <f aca="false">IF(C11="","",VLOOKUP(C11,PRECIOS!A:D,4,FALSE()))</f>
        <v/>
      </c>
      <c r="G11" s="5" t="str">
        <f aca="false">IF(F11="","",F11*0.2)</f>
        <v/>
      </c>
      <c r="H11" s="5" t="str">
        <f aca="false">IF(F11="","",F11*0.8)</f>
        <v/>
      </c>
    </row>
    <row r="12" customFormat="false" ht="15.75" hidden="false" customHeight="true" outlineLevel="0" collapsed="false">
      <c r="A12" s="9"/>
      <c r="D12" s="1" t="str">
        <f aca="false">IF(C12="","",VLOOKUP(C12,PRECIOS!A:B,2,FALSE()))</f>
        <v/>
      </c>
      <c r="E12" s="1" t="str">
        <f aca="false">IF(C12="","",VLOOKUP(C12,PRECIOS!A:C,3,FALSE()))</f>
        <v/>
      </c>
      <c r="F12" s="1" t="str">
        <f aca="false">IF(C12="","",VLOOKUP(C12,PRECIOS!A:D,4,FALSE()))</f>
        <v/>
      </c>
      <c r="G12" s="1" t="str">
        <f aca="false">IF(F12="","",F12*0.2)</f>
        <v/>
      </c>
      <c r="H12" s="1" t="str">
        <f aca="false">IF(F12="","",F12*0.8)</f>
        <v/>
      </c>
    </row>
    <row r="13" customFormat="false" ht="15.75" hidden="false" customHeight="true" outlineLevel="0" collapsed="false">
      <c r="A13" s="5"/>
      <c r="B13" s="5"/>
      <c r="C13" s="5"/>
      <c r="D13" s="5" t="str">
        <f aca="false">IF(C13="","",VLOOKUP(C13,PRECIOS!A:B,2,FALSE()))</f>
        <v/>
      </c>
      <c r="E13" s="5" t="str">
        <f aca="false">IF(C13="","",VLOOKUP(C13,PRECIOS!A:C,3,FALSE()))</f>
        <v/>
      </c>
      <c r="F13" s="5" t="str">
        <f aca="false">IF(C13="","",VLOOKUP(C13,PRECIOS!A:D,4,FALSE()))</f>
        <v/>
      </c>
      <c r="G13" s="5" t="str">
        <f aca="false">IF(F13="","",F13*0.2)</f>
        <v/>
      </c>
      <c r="H13" s="5" t="str">
        <f aca="false">IF(F13="","",F13*0.8)</f>
        <v/>
      </c>
    </row>
    <row r="14" customFormat="false" ht="15.75" hidden="false" customHeight="true" outlineLevel="0" collapsed="false">
      <c r="A14" s="5"/>
      <c r="B14" s="5"/>
      <c r="C14" s="5"/>
      <c r="D14" s="5" t="str">
        <f aca="false">IF(C14="","",VLOOKUP(C14,PRECIOS!A:B,2,FALSE()))</f>
        <v/>
      </c>
      <c r="E14" s="5" t="str">
        <f aca="false">IF(C14="","",VLOOKUP(C14,PRECIOS!A:C,3,FALSE()))</f>
        <v/>
      </c>
      <c r="F14" s="5" t="str">
        <f aca="false">IF(C14="","",VLOOKUP(C14,PRECIOS!A:D,4,FALSE()))</f>
        <v/>
      </c>
      <c r="G14" s="5" t="str">
        <f aca="false">IF(F14="","",F14*0.2)</f>
        <v/>
      </c>
      <c r="H14" s="5" t="str">
        <f aca="false">IF(F14="","",F14*0.8)</f>
        <v/>
      </c>
    </row>
    <row r="15" customFormat="false" ht="15.75" hidden="false" customHeight="true" outlineLevel="0" collapsed="false">
      <c r="A15" s="5"/>
      <c r="B15" s="5"/>
      <c r="C15" s="5"/>
      <c r="D15" s="5" t="str">
        <f aca="false">IF(C15="","",VLOOKUP(C15,PRECIOS!A:B,2,FALSE()))</f>
        <v/>
      </c>
      <c r="E15" s="5" t="str">
        <f aca="false">IF(C15="","",VLOOKUP(C15,PRECIOS!A:C,3,FALSE()))</f>
        <v/>
      </c>
      <c r="F15" s="5" t="str">
        <f aca="false">IF(C15="","",VLOOKUP(C15,PRECIOS!A:D,4,FALSE()))</f>
        <v/>
      </c>
      <c r="G15" s="5" t="str">
        <f aca="false">IF(F15="","",F15*0.2)</f>
        <v/>
      </c>
      <c r="H15" s="5" t="str">
        <f aca="false">IF(F15="","",F15*0.8)</f>
        <v/>
      </c>
    </row>
    <row r="16" customFormat="false" ht="15.75" hidden="false" customHeight="true" outlineLevel="0" collapsed="false">
      <c r="A16" s="5"/>
      <c r="B16" s="5"/>
      <c r="C16" s="5"/>
      <c r="D16" s="5" t="str">
        <f aca="false">IF(C16="","",VLOOKUP(C16,PRECIOS!A:B,2,FALSE()))</f>
        <v/>
      </c>
      <c r="E16" s="5" t="str">
        <f aca="false">IF(C16="","",VLOOKUP(C16,PRECIOS!A:C,3,FALSE()))</f>
        <v/>
      </c>
      <c r="F16" s="5" t="str">
        <f aca="false">IF(C16="","",VLOOKUP(C16,PRECIOS!A:D,4,FALSE()))</f>
        <v/>
      </c>
      <c r="G16" s="5" t="str">
        <f aca="false">IF(F16="","",F16*0.2)</f>
        <v/>
      </c>
      <c r="H16" s="5" t="str">
        <f aca="false">IF(F16="","",F16*0.8)</f>
        <v/>
      </c>
    </row>
    <row r="17" customFormat="false" ht="15.75" hidden="false" customHeight="true" outlineLevel="0" collapsed="false">
      <c r="A17" s="5"/>
      <c r="B17" s="5"/>
      <c r="C17" s="5"/>
      <c r="D17" s="5" t="str">
        <f aca="false">IF(C17="","",VLOOKUP(C17,PRECIOS!A:B,2,FALSE()))</f>
        <v/>
      </c>
      <c r="E17" s="5" t="str">
        <f aca="false">IF(C17="","",VLOOKUP(C17,PRECIOS!A:C,3,FALSE()))</f>
        <v/>
      </c>
      <c r="F17" s="5" t="str">
        <f aca="false">IF(C17="","",VLOOKUP(C17,PRECIOS!A:D,4,FALSE()))</f>
        <v/>
      </c>
      <c r="G17" s="5" t="str">
        <f aca="false">IF(F17="","",F17*0.2)</f>
        <v/>
      </c>
      <c r="H17" s="5" t="str">
        <f aca="false">IF(F17="","",F17*0.8)</f>
        <v/>
      </c>
    </row>
    <row r="18" customFormat="false" ht="15.75" hidden="false" customHeight="true" outlineLevel="0" collapsed="false">
      <c r="A18" s="5"/>
      <c r="B18" s="5"/>
      <c r="C18" s="5"/>
      <c r="D18" s="5" t="str">
        <f aca="false">IF(C18="","",VLOOKUP(C18,PRECIOS!A:B,2,FALSE()))</f>
        <v/>
      </c>
      <c r="E18" s="5" t="str">
        <f aca="false">IF(C18="","",VLOOKUP(C18,PRECIOS!A:C,3,FALSE()))</f>
        <v/>
      </c>
      <c r="F18" s="5" t="str">
        <f aca="false">IF(C18="","",VLOOKUP(C18,PRECIOS!A:D,4,FALSE()))</f>
        <v/>
      </c>
      <c r="G18" s="5" t="str">
        <f aca="false">IF(F18="","",F18*0.2)</f>
        <v/>
      </c>
      <c r="H18" s="5" t="str">
        <f aca="false">IF(F18="","",F18*0.8)</f>
        <v/>
      </c>
    </row>
    <row r="19" customFormat="false" ht="15.75" hidden="false" customHeight="true" outlineLevel="0" collapsed="false">
      <c r="A19" s="5"/>
      <c r="B19" s="5"/>
      <c r="C19" s="5"/>
      <c r="D19" s="5" t="str">
        <f aca="false">IF(C19="","",VLOOKUP(C19,PRECIOS!A:B,2,FALSE()))</f>
        <v/>
      </c>
      <c r="E19" s="5" t="str">
        <f aca="false">IF(C19="","",VLOOKUP(C19,PRECIOS!A:C,3,FALSE()))</f>
        <v/>
      </c>
      <c r="F19" s="5" t="str">
        <f aca="false">IF(C19="","",VLOOKUP(C19,PRECIOS!A:D,4,FALSE()))</f>
        <v/>
      </c>
      <c r="G19" s="5" t="str">
        <f aca="false">IF(F19="","",F19*0.2)</f>
        <v/>
      </c>
      <c r="H19" s="5" t="str">
        <f aca="false">IF(F19="","",F19*0.8)</f>
        <v/>
      </c>
    </row>
    <row r="20" customFormat="false" ht="15.75" hidden="false" customHeight="true" outlineLevel="0" collapsed="false">
      <c r="A20" s="5"/>
      <c r="B20" s="5"/>
      <c r="C20" s="5"/>
      <c r="D20" s="5" t="str">
        <f aca="false">IF(C20="","",VLOOKUP(C20,PRECIOS!A:B,2,FALSE()))</f>
        <v/>
      </c>
      <c r="E20" s="5" t="str">
        <f aca="false">IF(C20="","",VLOOKUP(C20,PRECIOS!A:C,3,FALSE()))</f>
        <v/>
      </c>
      <c r="F20" s="5" t="str">
        <f aca="false">IF(C20="","",VLOOKUP(C20,PRECIOS!A:D,4,FALSE()))</f>
        <v/>
      </c>
      <c r="G20" s="5" t="str">
        <f aca="false">IF(F20="","",F20*0.2)</f>
        <v/>
      </c>
      <c r="H20" s="5" t="str">
        <f aca="false">IF(F20="","",F20*0.8)</f>
        <v/>
      </c>
    </row>
    <row r="21" customFormat="false" ht="15.75" hidden="false" customHeight="true" outlineLevel="0" collapsed="false">
      <c r="A21" s="5"/>
      <c r="B21" s="5"/>
      <c r="C21" s="5"/>
      <c r="D21" s="5" t="str">
        <f aca="false">IF(C21="","",VLOOKUP(C21,PRECIOS!A:B,2,FALSE()))</f>
        <v/>
      </c>
      <c r="E21" s="5" t="str">
        <f aca="false">IF(C21="","",VLOOKUP(C21,PRECIOS!A:C,3,FALSE()))</f>
        <v/>
      </c>
      <c r="F21" s="5" t="str">
        <f aca="false">IF(C21="","",VLOOKUP(C21,PRECIOS!A:D,4,FALSE()))</f>
        <v/>
      </c>
      <c r="G21" s="5" t="str">
        <f aca="false">IF(F21="","",F21*0.2)</f>
        <v/>
      </c>
      <c r="H21" s="5" t="str">
        <f aca="false">IF(F21="","",F21*0.8)</f>
        <v/>
      </c>
    </row>
    <row r="22" customFormat="false" ht="15.75" hidden="false" customHeight="true" outlineLevel="0" collapsed="false">
      <c r="A22" s="5"/>
      <c r="B22" s="5"/>
      <c r="C22" s="5"/>
      <c r="D22" s="5" t="str">
        <f aca="false">IF(C22="","",VLOOKUP(C22,PRECIOS!A:B,2,FALSE()))</f>
        <v/>
      </c>
      <c r="E22" s="5" t="str">
        <f aca="false">IF(C22="","",VLOOKUP(C22,PRECIOS!A:C,3,FALSE()))</f>
        <v/>
      </c>
      <c r="F22" s="5" t="str">
        <f aca="false">IF(C22="","",VLOOKUP(C22,PRECIOS!A:D,4,FALSE()))</f>
        <v/>
      </c>
      <c r="G22" s="5" t="str">
        <f aca="false">IF(F22="","",F22*0.2)</f>
        <v/>
      </c>
      <c r="H22" s="5" t="str">
        <f aca="false">IF(F22="","",F22*0.8)</f>
        <v/>
      </c>
    </row>
    <row r="23" customFormat="false" ht="15.75" hidden="false" customHeight="true" outlineLevel="0" collapsed="false">
      <c r="A23" s="5"/>
      <c r="B23" s="5"/>
      <c r="C23" s="5"/>
      <c r="D23" s="5" t="str">
        <f aca="false">IF(C23="","",VLOOKUP(C23,PRECIOS!A:B,2,FALSE()))</f>
        <v/>
      </c>
      <c r="E23" s="5" t="str">
        <f aca="false">IF(C23="","",VLOOKUP(C23,PRECIOS!A:C,3,FALSE()))</f>
        <v/>
      </c>
      <c r="F23" s="5" t="str">
        <f aca="false">IF(C23="","",VLOOKUP(C23,PRECIOS!A:D,4,FALSE()))</f>
        <v/>
      </c>
      <c r="G23" s="5" t="str">
        <f aca="false">IF(F23="","",F23*0.2)</f>
        <v/>
      </c>
      <c r="H23" s="5" t="str">
        <f aca="false">IF(F23="","",F23*0.8)</f>
        <v/>
      </c>
    </row>
    <row r="24" customFormat="false" ht="15.75" hidden="false" customHeight="true" outlineLevel="0" collapsed="false">
      <c r="A24" s="5"/>
      <c r="B24" s="5"/>
      <c r="C24" s="5"/>
      <c r="D24" s="5" t="str">
        <f aca="false">IF(C24="","",VLOOKUP(C24,PRECIOS!A:B,2,FALSE()))</f>
        <v/>
      </c>
      <c r="E24" s="5" t="str">
        <f aca="false">IF(C24="","",VLOOKUP(C24,PRECIOS!A:C,3,FALSE()))</f>
        <v/>
      </c>
      <c r="F24" s="5" t="str">
        <f aca="false">IF(C24="","",VLOOKUP(C24,PRECIOS!A:D,4,FALSE()))</f>
        <v/>
      </c>
      <c r="G24" s="5" t="str">
        <f aca="false">IF(F24="","",F24*0.2)</f>
        <v/>
      </c>
      <c r="H24" s="5" t="str">
        <f aca="false">IF(F24="","",F24*0.8)</f>
        <v/>
      </c>
    </row>
    <row r="25" customFormat="false" ht="15.75" hidden="false" customHeight="true" outlineLevel="0" collapsed="false">
      <c r="A25" s="5"/>
      <c r="B25" s="5"/>
      <c r="C25" s="5"/>
      <c r="D25" s="5" t="str">
        <f aca="false">IF(C25="","",VLOOKUP(C25,PRECIOS!A:B,2,FALSE()))</f>
        <v/>
      </c>
      <c r="E25" s="5" t="str">
        <f aca="false">IF(C25="","",VLOOKUP(C25,PRECIOS!A:C,3,FALSE()))</f>
        <v/>
      </c>
      <c r="F25" s="5" t="str">
        <f aca="false">IF(C25="","",VLOOKUP(C25,PRECIOS!A:D,4,FALSE()))</f>
        <v/>
      </c>
      <c r="G25" s="5" t="str">
        <f aca="false">IF(F25="","",F25*0.2)</f>
        <v/>
      </c>
      <c r="H25" s="5" t="str">
        <f aca="false">IF(F25="","",F25*0.8)</f>
        <v/>
      </c>
    </row>
    <row r="26" customFormat="false" ht="15.75" hidden="false" customHeight="true" outlineLevel="0" collapsed="false">
      <c r="A26" s="5"/>
      <c r="B26" s="5"/>
      <c r="C26" s="5"/>
      <c r="D26" s="5" t="str">
        <f aca="false">IF(C26="","",VLOOKUP(C26,PRECIOS!A:B,2,FALSE()))</f>
        <v/>
      </c>
      <c r="E26" s="5" t="str">
        <f aca="false">IF(C26="","",VLOOKUP(C26,PRECIOS!A:C,3,FALSE()))</f>
        <v/>
      </c>
      <c r="F26" s="5" t="str">
        <f aca="false">IF(C26="","",VLOOKUP(C26,PRECIOS!A:D,4,FALSE()))</f>
        <v/>
      </c>
      <c r="G26" s="5" t="str">
        <f aca="false">IF(F26="","",F26*0.2)</f>
        <v/>
      </c>
      <c r="H26" s="5" t="str">
        <f aca="false">IF(F26="","",F26*0.8)</f>
        <v/>
      </c>
    </row>
    <row r="27" customFormat="false" ht="15.75" hidden="false" customHeight="true" outlineLevel="0" collapsed="false">
      <c r="A27" s="5"/>
      <c r="B27" s="5"/>
      <c r="C27" s="5"/>
      <c r="D27" s="5" t="str">
        <f aca="false">IF(C27="","",VLOOKUP(C27,PRECIOS!A:B,2,FALSE()))</f>
        <v/>
      </c>
      <c r="E27" s="5" t="str">
        <f aca="false">IF(C27="","",VLOOKUP(C27,PRECIOS!A:C,3,FALSE()))</f>
        <v/>
      </c>
      <c r="F27" s="5" t="str">
        <f aca="false">IF(C27="","",VLOOKUP(C27,PRECIOS!A:D,4,FALSE()))</f>
        <v/>
      </c>
      <c r="G27" s="5" t="str">
        <f aca="false">IF(F27="","",F27*0.2)</f>
        <v/>
      </c>
      <c r="H27" s="5" t="str">
        <f aca="false">IF(F27="","",F27*0.8)</f>
        <v/>
      </c>
    </row>
    <row r="28" customFormat="false" ht="15.75" hidden="false" customHeight="true" outlineLevel="0" collapsed="false">
      <c r="A28" s="5"/>
      <c r="B28" s="5"/>
      <c r="C28" s="5"/>
      <c r="D28" s="5" t="str">
        <f aca="false">IF(C28="","",VLOOKUP(C28,PRECIOS!A:B,2,FALSE()))</f>
        <v/>
      </c>
      <c r="E28" s="5" t="str">
        <f aca="false">IF(C28="","",VLOOKUP(C28,PRECIOS!A:C,3,FALSE()))</f>
        <v/>
      </c>
      <c r="F28" s="5" t="str">
        <f aca="false">IF(C28="","",VLOOKUP(C28,PRECIOS!A:D,4,FALSE()))</f>
        <v/>
      </c>
      <c r="G28" s="5" t="str">
        <f aca="false">IF(F28="","",F28*0.2)</f>
        <v/>
      </c>
      <c r="H28" s="5" t="str">
        <f aca="false">IF(F28="","",F28*0.8)</f>
        <v/>
      </c>
    </row>
    <row r="29" customFormat="false" ht="15.75" hidden="false" customHeight="true" outlineLevel="0" collapsed="false">
      <c r="A29" s="5"/>
      <c r="B29" s="5"/>
      <c r="C29" s="5"/>
      <c r="D29" s="5" t="str">
        <f aca="false">IF(C29="","",VLOOKUP(C29,PRECIOS!A:B,2,FALSE()))</f>
        <v/>
      </c>
      <c r="E29" s="5" t="str">
        <f aca="false">IF(C29="","",VLOOKUP(C29,PRECIOS!A:C,3,FALSE()))</f>
        <v/>
      </c>
      <c r="F29" s="5" t="str">
        <f aca="false">IF(C29="","",VLOOKUP(C29,PRECIOS!A:D,4,FALSE()))</f>
        <v/>
      </c>
      <c r="G29" s="5" t="str">
        <f aca="false">IF(F29="","",F29*0.2)</f>
        <v/>
      </c>
      <c r="H29" s="5" t="str">
        <f aca="false">IF(F29="","",F29*0.8)</f>
        <v/>
      </c>
    </row>
    <row r="30" customFormat="false" ht="15.75" hidden="false" customHeight="true" outlineLevel="0" collapsed="false">
      <c r="A30" s="5"/>
      <c r="B30" s="5"/>
      <c r="C30" s="5"/>
      <c r="D30" s="5" t="str">
        <f aca="false">IF(C30="","",VLOOKUP(C30,PRECIOS!A:B,2,FALSE()))</f>
        <v/>
      </c>
      <c r="E30" s="5" t="str">
        <f aca="false">IF(C30="","",VLOOKUP(C30,PRECIOS!A:C,3,FALSE()))</f>
        <v/>
      </c>
      <c r="F30" s="5" t="str">
        <f aca="false">IF(C30="","",VLOOKUP(C30,PRECIOS!A:D,4,FALSE()))</f>
        <v/>
      </c>
      <c r="G30" s="5" t="str">
        <f aca="false">IF(F30="","",F30*0.2)</f>
        <v/>
      </c>
      <c r="H30" s="5" t="str">
        <f aca="false">IF(F30="","",F30*0.8)</f>
        <v/>
      </c>
    </row>
    <row r="31" customFormat="false" ht="15.75" hidden="false" customHeight="true" outlineLevel="0" collapsed="false">
      <c r="A31" s="5"/>
      <c r="B31" s="5"/>
      <c r="C31" s="5"/>
      <c r="D31" s="5" t="str">
        <f aca="false">IF(C31="","",VLOOKUP(C31,PRECIOS!A:B,2,FALSE()))</f>
        <v/>
      </c>
      <c r="E31" s="5" t="str">
        <f aca="false">IF(C31="","",VLOOKUP(C31,PRECIOS!A:C,3,FALSE()))</f>
        <v/>
      </c>
      <c r="F31" s="5" t="str">
        <f aca="false">IF(C31="","",VLOOKUP(C31,PRECIOS!A:D,4,FALSE()))</f>
        <v/>
      </c>
      <c r="G31" s="5" t="str">
        <f aca="false">IF(F31="","",F31*0.2)</f>
        <v/>
      </c>
      <c r="H31" s="5" t="str">
        <f aca="false">IF(F31="","",F31*0.8)</f>
        <v/>
      </c>
    </row>
    <row r="32" customFormat="false" ht="15.75" hidden="false" customHeight="true" outlineLevel="0" collapsed="false">
      <c r="A32" s="5"/>
      <c r="B32" s="5"/>
      <c r="C32" s="5"/>
      <c r="D32" s="5" t="str">
        <f aca="false">IF(C32="","",VLOOKUP(C32,PRECIOS!A:B,2,FALSE()))</f>
        <v/>
      </c>
      <c r="E32" s="5" t="str">
        <f aca="false">IF(C32="","",VLOOKUP(C32,PRECIOS!A:C,3,FALSE()))</f>
        <v/>
      </c>
      <c r="F32" s="5" t="str">
        <f aca="false">IF(C32="","",VLOOKUP(C32,PRECIOS!A:D,4,FALSE()))</f>
        <v/>
      </c>
      <c r="G32" s="5" t="str">
        <f aca="false">IF(F32="","",F32*0.2)</f>
        <v/>
      </c>
      <c r="H32" s="5" t="str">
        <f aca="false">IF(F32="","",F32*0.8)</f>
        <v/>
      </c>
    </row>
    <row r="33" customFormat="false" ht="15.75" hidden="false" customHeight="true" outlineLevel="0" collapsed="false">
      <c r="A33" s="5"/>
      <c r="B33" s="5"/>
      <c r="C33" s="5"/>
      <c r="D33" s="5" t="str">
        <f aca="false">IF(C33="","",VLOOKUP(C33,PRECIOS!A:B,2,FALSE()))</f>
        <v/>
      </c>
      <c r="E33" s="5" t="str">
        <f aca="false">IF(C33="","",VLOOKUP(C33,PRECIOS!A:C,3,FALSE()))</f>
        <v/>
      </c>
      <c r="F33" s="5" t="str">
        <f aca="false">IF(C33="","",VLOOKUP(C33,PRECIOS!A:D,4,FALSE()))</f>
        <v/>
      </c>
      <c r="G33" s="5" t="str">
        <f aca="false">IF(F33="","",F33*0.2)</f>
        <v/>
      </c>
      <c r="H33" s="5" t="str">
        <f aca="false">IF(F33="","",F33*0.8)</f>
        <v/>
      </c>
    </row>
    <row r="34" customFormat="false" ht="15.75" hidden="false" customHeight="true" outlineLevel="0" collapsed="false">
      <c r="A34" s="5"/>
      <c r="B34" s="5"/>
      <c r="C34" s="5"/>
      <c r="D34" s="5" t="str">
        <f aca="false">IF(C34="","",VLOOKUP(C34,PRECIOS!A:B,2,FALSE()))</f>
        <v/>
      </c>
      <c r="E34" s="5" t="str">
        <f aca="false">IF(C34="","",VLOOKUP(C34,PRECIOS!A:C,3,FALSE()))</f>
        <v/>
      </c>
      <c r="F34" s="5" t="str">
        <f aca="false">IF(C34="","",VLOOKUP(C34,PRECIOS!A:D,4,FALSE()))</f>
        <v/>
      </c>
      <c r="G34" s="5" t="str">
        <f aca="false">IF(F34="","",F34*0.2)</f>
        <v/>
      </c>
      <c r="H34" s="5" t="str">
        <f aca="false">IF(F34="","",F34*0.8)</f>
        <v/>
      </c>
    </row>
    <row r="35" customFormat="false" ht="15.75" hidden="false" customHeight="true" outlineLevel="0" collapsed="false">
      <c r="A35" s="5"/>
      <c r="B35" s="5"/>
      <c r="C35" s="5"/>
      <c r="D35" s="5" t="str">
        <f aca="false">IF(C35="","",VLOOKUP(C35,PRECIOS!A:B,2,FALSE()))</f>
        <v/>
      </c>
      <c r="E35" s="5" t="str">
        <f aca="false">IF(C35="","",VLOOKUP(C35,PRECIOS!A:C,3,FALSE()))</f>
        <v/>
      </c>
      <c r="F35" s="5" t="str">
        <f aca="false">IF(C35="","",VLOOKUP(C35,PRECIOS!A:D,4,FALSE()))</f>
        <v/>
      </c>
      <c r="G35" s="5" t="str">
        <f aca="false">IF(F35="","",F35*0.2)</f>
        <v/>
      </c>
      <c r="H35" s="5" t="str">
        <f aca="false">IF(F35="","",F35*0.8)</f>
        <v/>
      </c>
    </row>
    <row r="36" customFormat="false" ht="15.75" hidden="false" customHeight="true" outlineLevel="0" collapsed="false">
      <c r="A36" s="5"/>
      <c r="B36" s="5"/>
      <c r="C36" s="5"/>
      <c r="D36" s="5" t="str">
        <f aca="false">IF(C36="","",VLOOKUP(C36,PRECIOS!A:B,2,FALSE()))</f>
        <v/>
      </c>
      <c r="E36" s="5" t="str">
        <f aca="false">IF(C36="","",VLOOKUP(C36,PRECIOS!A:C,3,FALSE()))</f>
        <v/>
      </c>
      <c r="F36" s="5" t="str">
        <f aca="false">IF(C36="","",VLOOKUP(C36,PRECIOS!A:D,4,FALSE()))</f>
        <v/>
      </c>
      <c r="G36" s="5" t="str">
        <f aca="false">IF(F36="","",F36*0.2)</f>
        <v/>
      </c>
      <c r="H36" s="5" t="str">
        <f aca="false">IF(F36="","",F36*0.8)</f>
        <v/>
      </c>
    </row>
    <row r="37" customFormat="false" ht="15.75" hidden="false" customHeight="true" outlineLevel="0" collapsed="false">
      <c r="A37" s="5"/>
      <c r="B37" s="5"/>
      <c r="C37" s="5"/>
      <c r="D37" s="5" t="str">
        <f aca="false">IF(C37="","",VLOOKUP(C37,PRECIOS!A:B,2,FALSE()))</f>
        <v/>
      </c>
      <c r="E37" s="5" t="str">
        <f aca="false">IF(C37="","",VLOOKUP(C37,PRECIOS!A:C,3,FALSE()))</f>
        <v/>
      </c>
      <c r="F37" s="5" t="str">
        <f aca="false">IF(C37="","",VLOOKUP(C37,PRECIOS!A:D,4,FALSE()))</f>
        <v/>
      </c>
      <c r="G37" s="5" t="str">
        <f aca="false">IF(F37="","",F37*0.2)</f>
        <v/>
      </c>
      <c r="H37" s="5" t="str">
        <f aca="false">IF(F37="","",F37*0.8)</f>
        <v/>
      </c>
    </row>
    <row r="38" customFormat="false" ht="15.75" hidden="false" customHeight="true" outlineLevel="0" collapsed="false">
      <c r="A38" s="5"/>
      <c r="B38" s="5"/>
      <c r="C38" s="5"/>
      <c r="D38" s="5" t="str">
        <f aca="false">IF(C38="","",VLOOKUP(C38,PRECIOS!A:B,2,FALSE()))</f>
        <v/>
      </c>
      <c r="E38" s="5" t="str">
        <f aca="false">IF(C38="","",VLOOKUP(C38,PRECIOS!A:C,3,FALSE()))</f>
        <v/>
      </c>
      <c r="F38" s="5" t="str">
        <f aca="false">IF(C38="","",VLOOKUP(C38,PRECIOS!A:D,4,FALSE()))</f>
        <v/>
      </c>
      <c r="G38" s="5" t="str">
        <f aca="false">IF(F38="","",F38*0.2)</f>
        <v/>
      </c>
      <c r="H38" s="5" t="str">
        <f aca="false">IF(F38="","",F38*0.8)</f>
        <v/>
      </c>
    </row>
    <row r="39" customFormat="false" ht="15.75" hidden="false" customHeight="true" outlineLevel="0" collapsed="false">
      <c r="A39" s="5"/>
      <c r="B39" s="5"/>
      <c r="C39" s="5"/>
      <c r="D39" s="5" t="str">
        <f aca="false">IF(C39="","",VLOOKUP(C39,PRECIOS!A:B,2,FALSE()))</f>
        <v/>
      </c>
      <c r="E39" s="5" t="str">
        <f aca="false">IF(C39="","",VLOOKUP(C39,PRECIOS!A:C,3,FALSE()))</f>
        <v/>
      </c>
      <c r="F39" s="5" t="str">
        <f aca="false">IF(C39="","",VLOOKUP(C39,PRECIOS!A:D,4,FALSE()))</f>
        <v/>
      </c>
      <c r="G39" s="5" t="str">
        <f aca="false">IF(F39="","",F39*0.2)</f>
        <v/>
      </c>
      <c r="H39" s="5" t="str">
        <f aca="false">IF(F39="","",F39*0.8)</f>
        <v/>
      </c>
    </row>
    <row r="40" customFormat="false" ht="15.75" hidden="false" customHeight="true" outlineLevel="0" collapsed="false">
      <c r="A40" s="5"/>
      <c r="B40" s="5"/>
      <c r="C40" s="5"/>
      <c r="D40" s="5" t="str">
        <f aca="false">IF(C40="","",VLOOKUP(C40,PRECIOS!A:B,2,FALSE()))</f>
        <v/>
      </c>
      <c r="E40" s="5" t="str">
        <f aca="false">IF(C40="","",VLOOKUP(C40,PRECIOS!A:C,3,FALSE()))</f>
        <v/>
      </c>
      <c r="F40" s="5" t="str">
        <f aca="false">IF(C40="","",VLOOKUP(C40,PRECIOS!A:D,4,FALSE()))</f>
        <v/>
      </c>
      <c r="G40" s="5" t="str">
        <f aca="false">IF(F40="","",F40*0.2)</f>
        <v/>
      </c>
      <c r="H40" s="5" t="str">
        <f aca="false">IF(F40="","",F40*0.8)</f>
        <v/>
      </c>
    </row>
    <row r="41" customFormat="false" ht="15.75" hidden="false" customHeight="true" outlineLevel="0" collapsed="false">
      <c r="A41" s="5"/>
      <c r="B41" s="5"/>
      <c r="C41" s="5"/>
      <c r="D41" s="5" t="str">
        <f aca="false">IF(C41="","",VLOOKUP(C41,PRECIOS!A:B,2,FALSE()))</f>
        <v/>
      </c>
      <c r="E41" s="5" t="str">
        <f aca="false">IF(C41="","",VLOOKUP(C41,PRECIOS!A:C,3,FALSE()))</f>
        <v/>
      </c>
      <c r="F41" s="5" t="str">
        <f aca="false">IF(C41="","",VLOOKUP(C41,PRECIOS!A:D,4,FALSE()))</f>
        <v/>
      </c>
      <c r="G41" s="5" t="str">
        <f aca="false">IF(F41="","",F41*0.2)</f>
        <v/>
      </c>
      <c r="H41" s="5" t="str">
        <f aca="false">IF(F41="","",F41*0.8)</f>
        <v/>
      </c>
    </row>
    <row r="42" customFormat="false" ht="15.75" hidden="false" customHeight="true" outlineLevel="0" collapsed="false">
      <c r="A42" s="5"/>
      <c r="B42" s="5"/>
      <c r="C42" s="5"/>
      <c r="D42" s="5" t="str">
        <f aca="false">IF(C42="","",VLOOKUP(C42,PRECIOS!A:B,2,FALSE()))</f>
        <v/>
      </c>
      <c r="E42" s="5" t="str">
        <f aca="false">IF(C42="","",VLOOKUP(C42,PRECIOS!A:C,3,FALSE()))</f>
        <v/>
      </c>
      <c r="F42" s="5" t="str">
        <f aca="false">IF(C42="","",VLOOKUP(C42,PRECIOS!A:D,4,FALSE()))</f>
        <v/>
      </c>
      <c r="G42" s="5" t="str">
        <f aca="false">IF(F42="","",F42*0.2)</f>
        <v/>
      </c>
      <c r="H42" s="5" t="str">
        <f aca="false">IF(F42="","",F42*0.8)</f>
        <v/>
      </c>
    </row>
    <row r="43" customFormat="false" ht="15.75" hidden="false" customHeight="true" outlineLevel="0" collapsed="false">
      <c r="A43" s="5"/>
      <c r="B43" s="5"/>
      <c r="C43" s="5"/>
      <c r="D43" s="5" t="str">
        <f aca="false">IF(C43="","",VLOOKUP(C43,PRECIOS!A:B,2,FALSE()))</f>
        <v/>
      </c>
      <c r="E43" s="5" t="str">
        <f aca="false">IF(C43="","",VLOOKUP(C43,PRECIOS!A:C,3,FALSE()))</f>
        <v/>
      </c>
      <c r="F43" s="5" t="str">
        <f aca="false">IF(C43="","",VLOOKUP(C43,PRECIOS!A:D,4,FALSE()))</f>
        <v/>
      </c>
      <c r="G43" s="5" t="str">
        <f aca="false">IF(F43="","",F43*0.2)</f>
        <v/>
      </c>
      <c r="H43" s="5" t="str">
        <f aca="false">IF(F43="","",F43*0.8)</f>
        <v/>
      </c>
    </row>
    <row r="44" customFormat="false" ht="15.75" hidden="false" customHeight="true" outlineLevel="0" collapsed="false">
      <c r="A44" s="5"/>
      <c r="B44" s="5"/>
      <c r="C44" s="5"/>
      <c r="D44" s="5" t="str">
        <f aca="false">IF(C44="","",VLOOKUP(C44,PRECIOS!A:B,2,FALSE()))</f>
        <v/>
      </c>
      <c r="E44" s="5" t="str">
        <f aca="false">IF(C44="","",VLOOKUP(C44,PRECIOS!A:C,3,FALSE()))</f>
        <v/>
      </c>
      <c r="F44" s="5" t="str">
        <f aca="false">IF(C44="","",VLOOKUP(C44,PRECIOS!A:D,4,FALSE()))</f>
        <v/>
      </c>
      <c r="G44" s="5" t="str">
        <f aca="false">IF(F44="","",F44*0.2)</f>
        <v/>
      </c>
      <c r="H44" s="5" t="str">
        <f aca="false">IF(F44="","",F44*0.8)</f>
        <v/>
      </c>
    </row>
    <row r="45" customFormat="false" ht="15.75" hidden="false" customHeight="true" outlineLevel="0" collapsed="false">
      <c r="A45" s="5"/>
      <c r="B45" s="5"/>
      <c r="C45" s="5"/>
      <c r="D45" s="5" t="str">
        <f aca="false">IF(C45="","",VLOOKUP(C45,PRECIOS!A:B,2,FALSE()))</f>
        <v/>
      </c>
      <c r="E45" s="5" t="str">
        <f aca="false">IF(C45="","",VLOOKUP(C45,PRECIOS!A:C,3,FALSE()))</f>
        <v/>
      </c>
      <c r="F45" s="5" t="str">
        <f aca="false">IF(C45="","",VLOOKUP(C45,PRECIOS!A:D,4,FALSE()))</f>
        <v/>
      </c>
      <c r="G45" s="5" t="str">
        <f aca="false">IF(F45="","",F45*0.2)</f>
        <v/>
      </c>
      <c r="H45" s="5" t="str">
        <f aca="false">IF(F45="","",F45*0.8)</f>
        <v/>
      </c>
    </row>
    <row r="46" customFormat="false" ht="15.75" hidden="false" customHeight="true" outlineLevel="0" collapsed="false">
      <c r="A46" s="5"/>
      <c r="B46" s="5"/>
      <c r="C46" s="5"/>
      <c r="D46" s="5" t="str">
        <f aca="false">IF(C46="","",VLOOKUP(C46,PRECIOS!A:B,2,FALSE()))</f>
        <v/>
      </c>
      <c r="E46" s="5" t="str">
        <f aca="false">IF(C46="","",VLOOKUP(C46,PRECIOS!A:C,3,FALSE()))</f>
        <v/>
      </c>
      <c r="F46" s="5" t="str">
        <f aca="false">IF(C46="","",VLOOKUP(C46,PRECIOS!A:D,4,FALSE()))</f>
        <v/>
      </c>
      <c r="G46" s="5" t="str">
        <f aca="false">IF(F46="","",F46*0.2)</f>
        <v/>
      </c>
      <c r="H46" s="5" t="str">
        <f aca="false">IF(F46="","",F46*0.8)</f>
        <v/>
      </c>
    </row>
    <row r="47" customFormat="false" ht="15.75" hidden="false" customHeight="true" outlineLevel="0" collapsed="false">
      <c r="A47" s="5"/>
      <c r="B47" s="5"/>
      <c r="C47" s="5"/>
      <c r="D47" s="5" t="str">
        <f aca="false">IF(C47="","",VLOOKUP(C47,PRECIOS!A:B,2,FALSE()))</f>
        <v/>
      </c>
      <c r="E47" s="5" t="str">
        <f aca="false">IF(C47="","",VLOOKUP(C47,PRECIOS!A:C,3,FALSE()))</f>
        <v/>
      </c>
      <c r="F47" s="5" t="str">
        <f aca="false">IF(C47="","",VLOOKUP(C47,PRECIOS!A:D,4,FALSE()))</f>
        <v/>
      </c>
      <c r="G47" s="5" t="str">
        <f aca="false">IF(F47="","",F47*0.2)</f>
        <v/>
      </c>
      <c r="H47" s="5" t="str">
        <f aca="false">IF(F47="","",F47*0.8)</f>
        <v/>
      </c>
    </row>
    <row r="48" customFormat="false" ht="15.75" hidden="false" customHeight="true" outlineLevel="0" collapsed="false">
      <c r="A48" s="5"/>
      <c r="B48" s="5"/>
      <c r="C48" s="5"/>
      <c r="D48" s="5" t="str">
        <f aca="false">IF(C48="","",VLOOKUP(C48,PRECIOS!A:B,2,FALSE()))</f>
        <v/>
      </c>
      <c r="E48" s="5" t="str">
        <f aca="false">IF(C48="","",VLOOKUP(C48,PRECIOS!A:C,3,FALSE()))</f>
        <v/>
      </c>
      <c r="F48" s="5" t="str">
        <f aca="false">IF(C48="","",VLOOKUP(C48,PRECIOS!A:D,4,FALSE()))</f>
        <v/>
      </c>
      <c r="G48" s="5" t="str">
        <f aca="false">IF(F48="","",F48*0.2)</f>
        <v/>
      </c>
      <c r="H48" s="5" t="str">
        <f aca="false">IF(F48="","",F48*0.8)</f>
        <v/>
      </c>
    </row>
    <row r="49" customFormat="false" ht="15.75" hidden="false" customHeight="true" outlineLevel="0" collapsed="false">
      <c r="A49" s="5"/>
      <c r="B49" s="5"/>
      <c r="C49" s="5"/>
      <c r="D49" s="5" t="str">
        <f aca="false">IF(C49="","",VLOOKUP(C49,PRECIOS!A:B,2,FALSE()))</f>
        <v/>
      </c>
      <c r="E49" s="5" t="str">
        <f aca="false">IF(C49="","",VLOOKUP(C49,PRECIOS!A:C,3,FALSE()))</f>
        <v/>
      </c>
      <c r="F49" s="5" t="str">
        <f aca="false">IF(C49="","",VLOOKUP(C49,PRECIOS!A:D,4,FALSE()))</f>
        <v/>
      </c>
      <c r="G49" s="5" t="str">
        <f aca="false">IF(F49="","",F49*0.2)</f>
        <v/>
      </c>
      <c r="H49" s="5" t="str">
        <f aca="false">IF(F49="","",F49*0.8)</f>
        <v/>
      </c>
    </row>
    <row r="50" customFormat="false" ht="15.75" hidden="false" customHeight="true" outlineLevel="0" collapsed="false">
      <c r="A50" s="5"/>
      <c r="B50" s="5"/>
      <c r="C50" s="5"/>
      <c r="D50" s="5" t="str">
        <f aca="false">IF(C50="","",VLOOKUP(C50,PRECIOS!A:B,2,FALSE()))</f>
        <v/>
      </c>
      <c r="E50" s="5" t="str">
        <f aca="false">IF(C50="","",VLOOKUP(C50,PRECIOS!A:C,3,FALSE()))</f>
        <v/>
      </c>
      <c r="F50" s="5" t="str">
        <f aca="false">IF(C50="","",VLOOKUP(C50,PRECIOS!A:D,4,FALSE()))</f>
        <v/>
      </c>
      <c r="G50" s="5" t="str">
        <f aca="false">IF(F50="","",F50*0.2)</f>
        <v/>
      </c>
      <c r="H50" s="5" t="str">
        <f aca="false">IF(F50="","",F50*0.8)</f>
        <v/>
      </c>
    </row>
    <row r="51" customFormat="false" ht="15.75" hidden="false" customHeight="true" outlineLevel="0" collapsed="false">
      <c r="A51" s="5"/>
      <c r="B51" s="5"/>
      <c r="C51" s="5"/>
      <c r="D51" s="5" t="str">
        <f aca="false">IF(C51="","",VLOOKUP(C51,PRECIOS!A:B,2,FALSE()))</f>
        <v/>
      </c>
      <c r="E51" s="5" t="str">
        <f aca="false">IF(C51="","",VLOOKUP(C51,PRECIOS!A:C,3,FALSE()))</f>
        <v/>
      </c>
      <c r="F51" s="5" t="str">
        <f aca="false">IF(C51="","",VLOOKUP(C51,PRECIOS!A:D,4,FALSE()))</f>
        <v/>
      </c>
      <c r="G51" s="5" t="str">
        <f aca="false">IF(F51="","",F51*0.2)</f>
        <v/>
      </c>
      <c r="H51" s="5" t="str">
        <f aca="false">IF(F51="","",F51*0.8)</f>
        <v/>
      </c>
    </row>
    <row r="52" customFormat="false" ht="15.75" hidden="false" customHeight="true" outlineLevel="0" collapsed="false">
      <c r="A52" s="5"/>
      <c r="B52" s="5"/>
      <c r="C52" s="5"/>
      <c r="D52" s="5" t="str">
        <f aca="false">IF(C52="","",VLOOKUP(C52,PRECIOS!A:B,2,FALSE()))</f>
        <v/>
      </c>
      <c r="E52" s="5" t="str">
        <f aca="false">IF(C52="","",VLOOKUP(C52,PRECIOS!A:C,3,FALSE()))</f>
        <v/>
      </c>
      <c r="F52" s="5" t="str">
        <f aca="false">IF(C52="","",VLOOKUP(C52,PRECIOS!A:D,4,FALSE()))</f>
        <v/>
      </c>
      <c r="G52" s="5" t="str">
        <f aca="false">IF(F52="","",F52*0.2)</f>
        <v/>
      </c>
      <c r="H52" s="5" t="str">
        <f aca="false">IF(F52="","",F52*0.8)</f>
        <v/>
      </c>
    </row>
    <row r="53" customFormat="false" ht="15.75" hidden="false" customHeight="true" outlineLevel="0" collapsed="false">
      <c r="A53" s="5"/>
      <c r="B53" s="5"/>
      <c r="C53" s="5"/>
      <c r="D53" s="5" t="str">
        <f aca="false">IF(C53="","",VLOOKUP(C53,PRECIOS!A:B,2,FALSE()))</f>
        <v/>
      </c>
      <c r="E53" s="5" t="str">
        <f aca="false">IF(C53="","",VLOOKUP(C53,PRECIOS!A:C,3,FALSE()))</f>
        <v/>
      </c>
      <c r="F53" s="5" t="str">
        <f aca="false">IF(C53="","",VLOOKUP(C53,PRECIOS!A:D,4,FALSE()))</f>
        <v/>
      </c>
      <c r="G53" s="5" t="str">
        <f aca="false">IF(F53="","",F53*0.2)</f>
        <v/>
      </c>
      <c r="H53" s="5" t="str">
        <f aca="false">IF(F53="","",F53*0.8)</f>
        <v/>
      </c>
    </row>
    <row r="54" customFormat="false" ht="15.75" hidden="false" customHeight="true" outlineLevel="0" collapsed="false">
      <c r="A54" s="5"/>
      <c r="B54" s="5"/>
      <c r="C54" s="5"/>
      <c r="D54" s="5" t="str">
        <f aca="false">IF(C54="","",VLOOKUP(C54,PRECIOS!A:B,2,FALSE()))</f>
        <v/>
      </c>
      <c r="E54" s="5" t="str">
        <f aca="false">IF(C54="","",VLOOKUP(C54,PRECIOS!A:C,3,FALSE()))</f>
        <v/>
      </c>
      <c r="F54" s="5" t="str">
        <f aca="false">IF(C54="","",VLOOKUP(C54,PRECIOS!A:D,4,FALSE()))</f>
        <v/>
      </c>
      <c r="G54" s="5" t="str">
        <f aca="false">IF(F54="","",F54*0.2)</f>
        <v/>
      </c>
      <c r="H54" s="5" t="str">
        <f aca="false">IF(F54="","",F54*0.8)</f>
        <v/>
      </c>
    </row>
    <row r="55" customFormat="false" ht="15.75" hidden="false" customHeight="true" outlineLevel="0" collapsed="false">
      <c r="A55" s="5"/>
      <c r="B55" s="5"/>
      <c r="C55" s="5"/>
      <c r="D55" s="5" t="str">
        <f aca="false">IF(C55="","",VLOOKUP(C55,PRECIOS!A:B,2,FALSE()))</f>
        <v/>
      </c>
      <c r="E55" s="5" t="str">
        <f aca="false">IF(C55="","",VLOOKUP(C55,PRECIOS!A:C,3,FALSE()))</f>
        <v/>
      </c>
      <c r="F55" s="5" t="str">
        <f aca="false">IF(C55="","",VLOOKUP(C55,PRECIOS!A:D,4,FALSE()))</f>
        <v/>
      </c>
      <c r="G55" s="5" t="str">
        <f aca="false">IF(F55="","",F55*0.2)</f>
        <v/>
      </c>
      <c r="H55" s="5" t="str">
        <f aca="false">IF(F55="","",F55*0.8)</f>
        <v/>
      </c>
    </row>
    <row r="56" customFormat="false" ht="15.75" hidden="false" customHeight="true" outlineLevel="0" collapsed="false">
      <c r="A56" s="5"/>
      <c r="B56" s="5"/>
      <c r="C56" s="5"/>
      <c r="D56" s="5" t="str">
        <f aca="false">IF(C56="","",VLOOKUP(C56,PRECIOS!A:B,2,FALSE()))</f>
        <v/>
      </c>
      <c r="E56" s="5" t="str">
        <f aca="false">IF(C56="","",VLOOKUP(C56,PRECIOS!A:C,3,FALSE()))</f>
        <v/>
      </c>
      <c r="F56" s="5" t="str">
        <f aca="false">IF(C56="","",VLOOKUP(C56,PRECIOS!A:D,4,FALSE()))</f>
        <v/>
      </c>
      <c r="G56" s="5" t="str">
        <f aca="false">IF(F56="","",F56*0.2)</f>
        <v/>
      </c>
      <c r="H56" s="5" t="str">
        <f aca="false">IF(F56="","",F56*0.8)</f>
        <v/>
      </c>
    </row>
    <row r="57" customFormat="false" ht="15.75" hidden="false" customHeight="true" outlineLevel="0" collapsed="false">
      <c r="A57" s="5"/>
      <c r="B57" s="5"/>
      <c r="C57" s="5"/>
      <c r="D57" s="5" t="str">
        <f aca="false">IF(C57="","",VLOOKUP(C57,PRECIOS!A:B,2,FALSE()))</f>
        <v/>
      </c>
      <c r="E57" s="5" t="str">
        <f aca="false">IF(C57="","",VLOOKUP(C57,PRECIOS!A:C,3,FALSE()))</f>
        <v/>
      </c>
      <c r="F57" s="5" t="str">
        <f aca="false">IF(C57="","",VLOOKUP(C57,PRECIOS!A:D,4,FALSE()))</f>
        <v/>
      </c>
      <c r="G57" s="5" t="str">
        <f aca="false">IF(F57="","",F57*0.2)</f>
        <v/>
      </c>
      <c r="H57" s="5" t="str">
        <f aca="false">IF(F57="","",F57*0.8)</f>
        <v/>
      </c>
    </row>
    <row r="58" customFormat="false" ht="15.75" hidden="false" customHeight="true" outlineLevel="0" collapsed="false">
      <c r="A58" s="5"/>
      <c r="B58" s="5"/>
      <c r="C58" s="5"/>
      <c r="D58" s="5" t="str">
        <f aca="false">IF(C58="","",VLOOKUP(C58,PRECIOS!A:B,2,FALSE()))</f>
        <v/>
      </c>
      <c r="E58" s="5" t="str">
        <f aca="false">IF(C58="","",VLOOKUP(C58,PRECIOS!A:C,3,FALSE()))</f>
        <v/>
      </c>
      <c r="F58" s="5" t="str">
        <f aca="false">IF(C58="","",VLOOKUP(C58,PRECIOS!A:D,4,FALSE()))</f>
        <v/>
      </c>
      <c r="G58" s="5" t="str">
        <f aca="false">IF(F58="","",F58*0.2)</f>
        <v/>
      </c>
      <c r="H58" s="5" t="str">
        <f aca="false">IF(F58="","",F58*0.8)</f>
        <v/>
      </c>
    </row>
    <row r="59" customFormat="false" ht="15.75" hidden="false" customHeight="true" outlineLevel="0" collapsed="false">
      <c r="A59" s="5"/>
      <c r="B59" s="5"/>
      <c r="C59" s="5"/>
      <c r="D59" s="5" t="str">
        <f aca="false">IF(C59="","",VLOOKUP(C59,PRECIOS!A:B,2,FALSE()))</f>
        <v/>
      </c>
      <c r="E59" s="5" t="str">
        <f aca="false">IF(C59="","",VLOOKUP(C59,PRECIOS!A:C,3,FALSE()))</f>
        <v/>
      </c>
      <c r="F59" s="5" t="str">
        <f aca="false">IF(C59="","",VLOOKUP(C59,PRECIOS!A:D,4,FALSE()))</f>
        <v/>
      </c>
      <c r="G59" s="5" t="str">
        <f aca="false">IF(F59="","",F59*0.2)</f>
        <v/>
      </c>
      <c r="H59" s="5" t="str">
        <f aca="false">IF(F59="","",F59*0.8)</f>
        <v/>
      </c>
    </row>
    <row r="60" customFormat="false" ht="15.75" hidden="false" customHeight="true" outlineLevel="0" collapsed="false">
      <c r="A60" s="5"/>
      <c r="B60" s="5"/>
      <c r="C60" s="5"/>
      <c r="D60" s="5" t="str">
        <f aca="false">IF(C60="","",VLOOKUP(C60,PRECIOS!A:B,2,FALSE()))</f>
        <v/>
      </c>
      <c r="E60" s="5" t="str">
        <f aca="false">IF(C60="","",VLOOKUP(C60,PRECIOS!A:C,3,FALSE()))</f>
        <v/>
      </c>
      <c r="F60" s="5" t="str">
        <f aca="false">IF(C60="","",VLOOKUP(C60,PRECIOS!A:D,4,FALSE()))</f>
        <v/>
      </c>
      <c r="G60" s="5" t="str">
        <f aca="false">IF(F60="","",F60*0.2)</f>
        <v/>
      </c>
      <c r="H60" s="5" t="str">
        <f aca="false">IF(F60="","",F60*0.8)</f>
        <v/>
      </c>
    </row>
    <row r="61" customFormat="false" ht="15.75" hidden="false" customHeight="true" outlineLevel="0" collapsed="false">
      <c r="A61" s="5"/>
      <c r="B61" s="5"/>
      <c r="C61" s="5"/>
      <c r="D61" s="5" t="str">
        <f aca="false">IF(C61="","",VLOOKUP(C61,PRECIOS!A:B,2,FALSE()))</f>
        <v/>
      </c>
      <c r="E61" s="5" t="str">
        <f aca="false">IF(C61="","",VLOOKUP(C61,PRECIOS!A:C,3,FALSE()))</f>
        <v/>
      </c>
      <c r="F61" s="5" t="str">
        <f aca="false">IF(C61="","",VLOOKUP(C61,PRECIOS!A:D,4,FALSE()))</f>
        <v/>
      </c>
      <c r="G61" s="5" t="str">
        <f aca="false">IF(F61="","",F61*0.2)</f>
        <v/>
      </c>
      <c r="H61" s="5" t="str">
        <f aca="false">IF(F61="","",F61*0.8)</f>
        <v/>
      </c>
    </row>
    <row r="62" customFormat="false" ht="15.75" hidden="false" customHeight="true" outlineLevel="0" collapsed="false">
      <c r="A62" s="5"/>
      <c r="B62" s="5"/>
      <c r="C62" s="5"/>
      <c r="D62" s="5" t="str">
        <f aca="false">IF(C62="","",VLOOKUP(C62,PRECIOS!A:B,2,FALSE()))</f>
        <v/>
      </c>
      <c r="E62" s="5" t="str">
        <f aca="false">IF(C62="","",VLOOKUP(C62,PRECIOS!A:C,3,FALSE()))</f>
        <v/>
      </c>
      <c r="F62" s="5" t="str">
        <f aca="false">IF(C62="","",VLOOKUP(C62,PRECIOS!A:D,4,FALSE()))</f>
        <v/>
      </c>
      <c r="G62" s="5" t="str">
        <f aca="false">IF(F62="","",F62*0.2)</f>
        <v/>
      </c>
      <c r="H62" s="5" t="str">
        <f aca="false">IF(F62="","",F62*0.8)</f>
        <v/>
      </c>
    </row>
    <row r="63" customFormat="false" ht="15.75" hidden="false" customHeight="true" outlineLevel="0" collapsed="false">
      <c r="A63" s="5"/>
      <c r="B63" s="5"/>
      <c r="C63" s="5"/>
      <c r="D63" s="5" t="str">
        <f aca="false">IF(C63="","",VLOOKUP(C63,PRECIOS!A:B,2,FALSE()))</f>
        <v/>
      </c>
      <c r="E63" s="5" t="str">
        <f aca="false">IF(C63="","",VLOOKUP(C63,PRECIOS!A:C,3,FALSE()))</f>
        <v/>
      </c>
      <c r="F63" s="5" t="str">
        <f aca="false">IF(C63="","",VLOOKUP(C63,PRECIOS!A:D,4,FALSE()))</f>
        <v/>
      </c>
      <c r="G63" s="5" t="str">
        <f aca="false">IF(F63="","",F63*0.2)</f>
        <v/>
      </c>
      <c r="H63" s="5" t="str">
        <f aca="false">IF(F63="","",F63*0.8)</f>
        <v/>
      </c>
    </row>
    <row r="64" customFormat="false" ht="15.75" hidden="false" customHeight="true" outlineLevel="0" collapsed="false">
      <c r="A64" s="5"/>
      <c r="B64" s="5"/>
      <c r="C64" s="5"/>
      <c r="D64" s="5" t="str">
        <f aca="false">IF(C64="","",VLOOKUP(C64,PRECIOS!A:B,2,FALSE()))</f>
        <v/>
      </c>
      <c r="E64" s="5" t="str">
        <f aca="false">IF(C64="","",VLOOKUP(C64,PRECIOS!A:C,3,FALSE()))</f>
        <v/>
      </c>
      <c r="F64" s="5" t="str">
        <f aca="false">IF(C64="","",VLOOKUP(C64,PRECIOS!A:D,4,FALSE()))</f>
        <v/>
      </c>
      <c r="G64" s="5" t="str">
        <f aca="false">IF(F64="","",F64*0.2)</f>
        <v/>
      </c>
      <c r="H64" s="5" t="str">
        <f aca="false">IF(F64="","",F64*0.8)</f>
        <v/>
      </c>
    </row>
    <row r="65" customFormat="false" ht="15.75" hidden="false" customHeight="true" outlineLevel="0" collapsed="false">
      <c r="A65" s="5"/>
      <c r="B65" s="5"/>
      <c r="C65" s="5"/>
      <c r="D65" s="5" t="str">
        <f aca="false">IF(C65="","",VLOOKUP(C65,PRECIOS!A:B,2,FALSE()))</f>
        <v/>
      </c>
      <c r="E65" s="5" t="str">
        <f aca="false">IF(C65="","",VLOOKUP(C65,PRECIOS!A:C,3,FALSE()))</f>
        <v/>
      </c>
      <c r="F65" s="5" t="str">
        <f aca="false">IF(C65="","",VLOOKUP(C65,PRECIOS!A:D,4,FALSE()))</f>
        <v/>
      </c>
      <c r="G65" s="5" t="str">
        <f aca="false">IF(F65="","",F65*0.2)</f>
        <v/>
      </c>
      <c r="H65" s="5" t="str">
        <f aca="false">IF(F65="","",F65*0.8)</f>
        <v/>
      </c>
    </row>
    <row r="66" customFormat="false" ht="15.75" hidden="false" customHeight="true" outlineLevel="0" collapsed="false">
      <c r="A66" s="5"/>
      <c r="B66" s="5"/>
      <c r="C66" s="5"/>
      <c r="D66" s="5" t="str">
        <f aca="false">IF(C66="","",VLOOKUP(C66,PRECIOS!A:B,2,FALSE()))</f>
        <v/>
      </c>
      <c r="E66" s="5" t="str">
        <f aca="false">IF(C66="","",VLOOKUP(C66,PRECIOS!A:C,3,FALSE()))</f>
        <v/>
      </c>
      <c r="F66" s="5" t="str">
        <f aca="false">IF(C66="","",VLOOKUP(C66,PRECIOS!A:D,4,FALSE()))</f>
        <v/>
      </c>
      <c r="G66" s="5" t="str">
        <f aca="false">IF(F66="","",F66*0.2)</f>
        <v/>
      </c>
      <c r="H66" s="5" t="str">
        <f aca="false">IF(F66="","",F66*0.8)</f>
        <v/>
      </c>
    </row>
    <row r="67" customFormat="false" ht="15.75" hidden="false" customHeight="true" outlineLevel="0" collapsed="false">
      <c r="A67" s="5"/>
      <c r="B67" s="5"/>
      <c r="C67" s="5"/>
      <c r="D67" s="5" t="str">
        <f aca="false">IF(C67="","",VLOOKUP(C67,PRECIOS!A:B,2,FALSE()))</f>
        <v/>
      </c>
      <c r="E67" s="5" t="str">
        <f aca="false">IF(C67="","",VLOOKUP(C67,PRECIOS!A:C,3,FALSE()))</f>
        <v/>
      </c>
      <c r="F67" s="5" t="str">
        <f aca="false">IF(C67="","",VLOOKUP(C67,PRECIOS!A:D,4,FALSE()))</f>
        <v/>
      </c>
      <c r="G67" s="5" t="str">
        <f aca="false">IF(F67="","",F67*0.2)</f>
        <v/>
      </c>
      <c r="H67" s="5" t="str">
        <f aca="false">IF(F67="","",F67*0.8)</f>
        <v/>
      </c>
    </row>
    <row r="68" customFormat="false" ht="15.75" hidden="false" customHeight="true" outlineLevel="0" collapsed="false">
      <c r="A68" s="5"/>
      <c r="B68" s="5"/>
      <c r="C68" s="5"/>
      <c r="D68" s="5" t="str">
        <f aca="false">IF(C68="","",VLOOKUP(C68,PRECIOS!A:B,2,FALSE()))</f>
        <v/>
      </c>
      <c r="E68" s="5" t="str">
        <f aca="false">IF(C68="","",VLOOKUP(C68,PRECIOS!A:C,3,FALSE()))</f>
        <v/>
      </c>
      <c r="F68" s="5" t="str">
        <f aca="false">IF(C68="","",VLOOKUP(C68,PRECIOS!A:D,4,FALSE()))</f>
        <v/>
      </c>
      <c r="G68" s="5" t="str">
        <f aca="false">IF(F68="","",F68*0.2)</f>
        <v/>
      </c>
      <c r="H68" s="5" t="str">
        <f aca="false">IF(F68="","",F68*0.8)</f>
        <v/>
      </c>
    </row>
    <row r="69" customFormat="false" ht="15.75" hidden="false" customHeight="true" outlineLevel="0" collapsed="false">
      <c r="A69" s="5"/>
      <c r="B69" s="5"/>
      <c r="C69" s="5"/>
      <c r="D69" s="5" t="str">
        <f aca="false">IF(C69="","",VLOOKUP(C69,PRECIOS!A:B,2,FALSE()))</f>
        <v/>
      </c>
      <c r="E69" s="5" t="str">
        <f aca="false">IF(C69="","",VLOOKUP(C69,PRECIOS!A:C,3,FALSE()))</f>
        <v/>
      </c>
      <c r="F69" s="5" t="str">
        <f aca="false">IF(C69="","",VLOOKUP(C69,PRECIOS!A:D,4,FALSE()))</f>
        <v/>
      </c>
      <c r="G69" s="5" t="str">
        <f aca="false">IF(F69="","",F69*0.2)</f>
        <v/>
      </c>
      <c r="H69" s="5" t="str">
        <f aca="false">IF(F69="","",F69*0.8)</f>
        <v/>
      </c>
    </row>
    <row r="70" customFormat="false" ht="15.75" hidden="false" customHeight="true" outlineLevel="0" collapsed="false">
      <c r="A70" s="5"/>
      <c r="B70" s="5"/>
      <c r="C70" s="5"/>
      <c r="D70" s="5" t="str">
        <f aca="false">IF(C70="","",VLOOKUP(C70,PRECIOS!A:B,2,FALSE()))</f>
        <v/>
      </c>
      <c r="E70" s="5" t="str">
        <f aca="false">IF(C70="","",VLOOKUP(C70,PRECIOS!A:C,3,FALSE()))</f>
        <v/>
      </c>
      <c r="F70" s="5" t="str">
        <f aca="false">IF(C70="","",VLOOKUP(C70,PRECIOS!A:D,4,FALSE()))</f>
        <v/>
      </c>
      <c r="G70" s="5" t="str">
        <f aca="false">IF(F70="","",F70*0.2)</f>
        <v/>
      </c>
      <c r="H70" s="5" t="str">
        <f aca="false">IF(F70="","",F70*0.8)</f>
        <v/>
      </c>
    </row>
    <row r="71" customFormat="false" ht="15.75" hidden="false" customHeight="true" outlineLevel="0" collapsed="false">
      <c r="A71" s="5"/>
      <c r="B71" s="5"/>
      <c r="C71" s="5"/>
      <c r="D71" s="5" t="str">
        <f aca="false">IF(C71="","",VLOOKUP(C71,PRECIOS!A:B,2,FALSE()))</f>
        <v/>
      </c>
      <c r="E71" s="5" t="str">
        <f aca="false">IF(C71="","",VLOOKUP(C71,PRECIOS!A:C,3,FALSE()))</f>
        <v/>
      </c>
      <c r="F71" s="5" t="str">
        <f aca="false">IF(C71="","",VLOOKUP(C71,PRECIOS!A:D,4,FALSE()))</f>
        <v/>
      </c>
      <c r="G71" s="5" t="str">
        <f aca="false">IF(F71="","",F71*0.2)</f>
        <v/>
      </c>
      <c r="H71" s="5" t="str">
        <f aca="false">IF(F71="","",F71*0.8)</f>
        <v/>
      </c>
    </row>
    <row r="72" customFormat="false" ht="15.75" hidden="false" customHeight="true" outlineLevel="0" collapsed="false">
      <c r="A72" s="5"/>
      <c r="B72" s="5"/>
      <c r="C72" s="5"/>
      <c r="D72" s="5" t="str">
        <f aca="false">IF(C72="","",VLOOKUP(C72,PRECIOS!A:B,2,FALSE()))</f>
        <v/>
      </c>
      <c r="E72" s="5" t="str">
        <f aca="false">IF(C72="","",VLOOKUP(C72,PRECIOS!A:C,3,FALSE()))</f>
        <v/>
      </c>
      <c r="F72" s="5" t="str">
        <f aca="false">IF(C72="","",VLOOKUP(C72,PRECIOS!A:D,4,FALSE()))</f>
        <v/>
      </c>
      <c r="G72" s="5" t="str">
        <f aca="false">IF(F72="","",F72*0.2)</f>
        <v/>
      </c>
      <c r="H72" s="5" t="str">
        <f aca="false">IF(F72="","",F72*0.8)</f>
        <v/>
      </c>
    </row>
    <row r="73" customFormat="false" ht="15.75" hidden="false" customHeight="true" outlineLevel="0" collapsed="false">
      <c r="A73" s="5"/>
      <c r="B73" s="5"/>
      <c r="C73" s="5"/>
      <c r="D73" s="5" t="str">
        <f aca="false">IF(C73="","",VLOOKUP(C73,PRECIOS!A:B,2,FALSE()))</f>
        <v/>
      </c>
      <c r="E73" s="5" t="str">
        <f aca="false">IF(C73="","",VLOOKUP(C73,PRECIOS!A:C,3,FALSE()))</f>
        <v/>
      </c>
      <c r="F73" s="5" t="str">
        <f aca="false">IF(C73="","",VLOOKUP(C73,PRECIOS!A:D,4,FALSE()))</f>
        <v/>
      </c>
      <c r="G73" s="5" t="str">
        <f aca="false">IF(F73="","",F73*0.2)</f>
        <v/>
      </c>
      <c r="H73" s="5" t="str">
        <f aca="false">IF(F73="","",F73*0.8)</f>
        <v/>
      </c>
    </row>
    <row r="74" customFormat="false" ht="15.75" hidden="false" customHeight="true" outlineLevel="0" collapsed="false">
      <c r="A74" s="5"/>
      <c r="B74" s="5"/>
      <c r="C74" s="5"/>
      <c r="D74" s="5" t="str">
        <f aca="false">IF(C74="","",VLOOKUP(C74,PRECIOS!A:B,2,FALSE()))</f>
        <v/>
      </c>
      <c r="E74" s="5" t="str">
        <f aca="false">IF(C74="","",VLOOKUP(C74,PRECIOS!A:C,3,FALSE()))</f>
        <v/>
      </c>
      <c r="F74" s="5" t="str">
        <f aca="false">IF(C74="","",VLOOKUP(C74,PRECIOS!A:D,4,FALSE()))</f>
        <v/>
      </c>
      <c r="G74" s="5" t="str">
        <f aca="false">IF(F74="","",F74*0.2)</f>
        <v/>
      </c>
      <c r="H74" s="5" t="str">
        <f aca="false">IF(F74="","",F74*0.8)</f>
        <v/>
      </c>
    </row>
    <row r="75" customFormat="false" ht="15.75" hidden="false" customHeight="true" outlineLevel="0" collapsed="false">
      <c r="A75" s="5"/>
      <c r="B75" s="5"/>
      <c r="C75" s="5"/>
      <c r="D75" s="5" t="str">
        <f aca="false">IF(C75="","",VLOOKUP(C75,PRECIOS!A:B,2,FALSE()))</f>
        <v/>
      </c>
      <c r="E75" s="5" t="str">
        <f aca="false">IF(C75="","",VLOOKUP(C75,PRECIOS!A:C,3,FALSE()))</f>
        <v/>
      </c>
      <c r="F75" s="5" t="str">
        <f aca="false">IF(C75="","",VLOOKUP(C75,PRECIOS!A:D,4,FALSE()))</f>
        <v/>
      </c>
      <c r="G75" s="5" t="str">
        <f aca="false">IF(F75="","",F75*0.2)</f>
        <v/>
      </c>
      <c r="H75" s="5" t="str">
        <f aca="false">IF(F75="","",F75*0.8)</f>
        <v/>
      </c>
    </row>
    <row r="76" customFormat="false" ht="15.75" hidden="false" customHeight="true" outlineLevel="0" collapsed="false">
      <c r="A76" s="5"/>
      <c r="B76" s="5"/>
      <c r="C76" s="5"/>
      <c r="D76" s="5" t="str">
        <f aca="false">IF(C76="","",VLOOKUP(C76,PRECIOS!A:B,2,FALSE()))</f>
        <v/>
      </c>
      <c r="E76" s="5" t="str">
        <f aca="false">IF(C76="","",VLOOKUP(C76,PRECIOS!A:C,3,FALSE()))</f>
        <v/>
      </c>
      <c r="F76" s="5" t="str">
        <f aca="false">IF(C76="","",VLOOKUP(C76,PRECIOS!A:D,4,FALSE()))</f>
        <v/>
      </c>
      <c r="G76" s="5" t="str">
        <f aca="false">IF(F76="","",F76*0.2)</f>
        <v/>
      </c>
      <c r="H76" s="5" t="str">
        <f aca="false">IF(F76="","",F76*0.8)</f>
        <v/>
      </c>
    </row>
    <row r="77" customFormat="false" ht="15.75" hidden="false" customHeight="true" outlineLevel="0" collapsed="false">
      <c r="A77" s="5"/>
      <c r="B77" s="5"/>
      <c r="C77" s="5"/>
      <c r="D77" s="5" t="str">
        <f aca="false">IF(C77="","",VLOOKUP(C77,PRECIOS!A:B,2,FALSE()))</f>
        <v/>
      </c>
      <c r="E77" s="5" t="str">
        <f aca="false">IF(C77="","",VLOOKUP(C77,PRECIOS!A:C,3,FALSE()))</f>
        <v/>
      </c>
      <c r="F77" s="5" t="str">
        <f aca="false">IF(C77="","",VLOOKUP(C77,PRECIOS!A:D,4,FALSE()))</f>
        <v/>
      </c>
      <c r="G77" s="5" t="str">
        <f aca="false">IF(F77="","",F77*0.2)</f>
        <v/>
      </c>
      <c r="H77" s="5" t="str">
        <f aca="false">IF(F77="","",F77*0.8)</f>
        <v/>
      </c>
    </row>
    <row r="78" customFormat="false" ht="15.75" hidden="false" customHeight="true" outlineLevel="0" collapsed="false">
      <c r="A78" s="5"/>
      <c r="B78" s="5"/>
      <c r="C78" s="5"/>
      <c r="D78" s="5" t="str">
        <f aca="false">IF(C78="","",VLOOKUP(C78,PRECIOS!A:B,2,FALSE()))</f>
        <v/>
      </c>
      <c r="E78" s="5" t="str">
        <f aca="false">IF(C78="","",VLOOKUP(C78,PRECIOS!A:C,3,FALSE()))</f>
        <v/>
      </c>
      <c r="F78" s="5" t="str">
        <f aca="false">IF(C78="","",VLOOKUP(C78,PRECIOS!A:D,4,FALSE()))</f>
        <v/>
      </c>
      <c r="G78" s="5" t="str">
        <f aca="false">IF(F78="","",F78*0.2)</f>
        <v/>
      </c>
      <c r="H78" s="5" t="str">
        <f aca="false">IF(F78="","",F78*0.8)</f>
        <v/>
      </c>
    </row>
    <row r="79" customFormat="false" ht="15.75" hidden="false" customHeight="true" outlineLevel="0" collapsed="false">
      <c r="A79" s="5"/>
      <c r="B79" s="5"/>
      <c r="C79" s="5"/>
      <c r="D79" s="5" t="str">
        <f aca="false">IF(C79="","",VLOOKUP(C79,PRECIOS!A:B,2,FALSE()))</f>
        <v/>
      </c>
      <c r="E79" s="5" t="str">
        <f aca="false">IF(C79="","",VLOOKUP(C79,PRECIOS!A:C,3,FALSE()))</f>
        <v/>
      </c>
      <c r="F79" s="5" t="str">
        <f aca="false">IF(C79="","",VLOOKUP(C79,PRECIOS!A:D,4,FALSE()))</f>
        <v/>
      </c>
      <c r="G79" s="5" t="str">
        <f aca="false">IF(F79="","",F79*0.2)</f>
        <v/>
      </c>
      <c r="H79" s="5" t="str">
        <f aca="false">IF(F79="","",F79*0.8)</f>
        <v/>
      </c>
    </row>
    <row r="80" customFormat="false" ht="15.75" hidden="false" customHeight="true" outlineLevel="0" collapsed="false">
      <c r="A80" s="5"/>
      <c r="B80" s="5"/>
      <c r="C80" s="5"/>
      <c r="D80" s="5" t="str">
        <f aca="false">IF(C80="","",VLOOKUP(C80,PRECIOS!A:B,2,FALSE()))</f>
        <v/>
      </c>
      <c r="E80" s="5" t="str">
        <f aca="false">IF(C80="","",VLOOKUP(C80,PRECIOS!A:C,3,FALSE()))</f>
        <v/>
      </c>
      <c r="F80" s="5" t="str">
        <f aca="false">IF(C80="","",VLOOKUP(C80,PRECIOS!A:D,4,FALSE()))</f>
        <v/>
      </c>
      <c r="G80" s="5" t="str">
        <f aca="false">IF(F80="","",F80*0.2)</f>
        <v/>
      </c>
      <c r="H80" s="5" t="str">
        <f aca="false">IF(F80="","",F80*0.8)</f>
        <v/>
      </c>
    </row>
    <row r="81" customFormat="false" ht="15.75" hidden="false" customHeight="true" outlineLevel="0" collapsed="false">
      <c r="A81" s="5"/>
      <c r="B81" s="5"/>
      <c r="C81" s="5"/>
      <c r="D81" s="5" t="str">
        <f aca="false">IF(C81="","",VLOOKUP(C81,PRECIOS!A:B,2,FALSE()))</f>
        <v/>
      </c>
      <c r="E81" s="5" t="str">
        <f aca="false">IF(C81="","",VLOOKUP(C81,PRECIOS!A:C,3,FALSE()))</f>
        <v/>
      </c>
      <c r="F81" s="5" t="str">
        <f aca="false">IF(C81="","",VLOOKUP(C81,PRECIOS!A:D,4,FALSE()))</f>
        <v/>
      </c>
      <c r="G81" s="5" t="str">
        <f aca="false">IF(F81="","",F81*0.2)</f>
        <v/>
      </c>
      <c r="H81" s="5" t="str">
        <f aca="false">IF(F81="","",F81*0.8)</f>
        <v/>
      </c>
    </row>
    <row r="82" customFormat="false" ht="15.75" hidden="false" customHeight="true" outlineLevel="0" collapsed="false">
      <c r="A82" s="5"/>
      <c r="B82" s="5"/>
      <c r="C82" s="5"/>
      <c r="D82" s="5" t="str">
        <f aca="false">IF(C82="","",VLOOKUP(C82,PRECIOS!A:B,2,FALSE()))</f>
        <v/>
      </c>
      <c r="E82" s="5" t="str">
        <f aca="false">IF(C82="","",VLOOKUP(C82,PRECIOS!A:C,3,FALSE()))</f>
        <v/>
      </c>
      <c r="F82" s="5" t="str">
        <f aca="false">IF(C82="","",VLOOKUP(C82,PRECIOS!A:D,4,FALSE()))</f>
        <v/>
      </c>
      <c r="G82" s="5" t="str">
        <f aca="false">IF(F82="","",F82*0.2)</f>
        <v/>
      </c>
      <c r="H82" s="5" t="str">
        <f aca="false">IF(F82="","",F82*0.8)</f>
        <v/>
      </c>
    </row>
    <row r="83" customFormat="false" ht="15.75" hidden="false" customHeight="true" outlineLevel="0" collapsed="false">
      <c r="A83" s="5"/>
      <c r="B83" s="5"/>
      <c r="C83" s="5"/>
      <c r="D83" s="5" t="str">
        <f aca="false">IF(C83="","",VLOOKUP(C83,PRECIOS!A:B,2,FALSE()))</f>
        <v/>
      </c>
      <c r="E83" s="5" t="str">
        <f aca="false">IF(C83="","",VLOOKUP(C83,PRECIOS!A:C,3,FALSE()))</f>
        <v/>
      </c>
      <c r="F83" s="5" t="str">
        <f aca="false">IF(C83="","",VLOOKUP(C83,PRECIOS!A:D,4,FALSE()))</f>
        <v/>
      </c>
      <c r="G83" s="5" t="str">
        <f aca="false">IF(F83="","",F83*0.2)</f>
        <v/>
      </c>
      <c r="H83" s="5" t="str">
        <f aca="false">IF(F83="","",F83*0.8)</f>
        <v/>
      </c>
    </row>
    <row r="84" customFormat="false" ht="15.75" hidden="false" customHeight="true" outlineLevel="0" collapsed="false">
      <c r="A84" s="5"/>
      <c r="B84" s="5"/>
      <c r="C84" s="5"/>
      <c r="D84" s="5" t="str">
        <f aca="false">IF(C84="","",VLOOKUP(C84,PRECIOS!A:B,2,FALSE()))</f>
        <v/>
      </c>
      <c r="E84" s="5" t="str">
        <f aca="false">IF(C84="","",VLOOKUP(C84,PRECIOS!A:C,3,FALSE()))</f>
        <v/>
      </c>
      <c r="F84" s="5" t="str">
        <f aca="false">IF(C84="","",VLOOKUP(C84,PRECIOS!A:D,4,FALSE()))</f>
        <v/>
      </c>
      <c r="G84" s="5" t="str">
        <f aca="false">IF(F84="","",F84*0.2)</f>
        <v/>
      </c>
      <c r="H84" s="5" t="str">
        <f aca="false">IF(F84="","",F84*0.8)</f>
        <v/>
      </c>
    </row>
    <row r="85" customFormat="false" ht="15.75" hidden="false" customHeight="true" outlineLevel="0" collapsed="false">
      <c r="A85" s="5"/>
      <c r="B85" s="5"/>
      <c r="C85" s="5"/>
      <c r="D85" s="5" t="str">
        <f aca="false">IF(C85="","",VLOOKUP(C85,PRECIOS!A:B,2,FALSE()))</f>
        <v/>
      </c>
      <c r="E85" s="5" t="str">
        <f aca="false">IF(C85="","",VLOOKUP(C85,PRECIOS!A:C,3,FALSE()))</f>
        <v/>
      </c>
      <c r="F85" s="5" t="str">
        <f aca="false">IF(C85="","",VLOOKUP(C85,PRECIOS!A:D,4,FALSE()))</f>
        <v/>
      </c>
      <c r="G85" s="5" t="str">
        <f aca="false">IF(F85="","",F85*0.2)</f>
        <v/>
      </c>
      <c r="H85" s="5" t="str">
        <f aca="false">IF(F85="","",F85*0.8)</f>
        <v/>
      </c>
    </row>
    <row r="86" customFormat="false" ht="15.75" hidden="false" customHeight="true" outlineLevel="0" collapsed="false">
      <c r="A86" s="5"/>
      <c r="B86" s="5"/>
      <c r="C86" s="5"/>
      <c r="D86" s="5" t="str">
        <f aca="false">IF(C86="","",VLOOKUP(C86,PRECIOS!A:B,2,FALSE()))</f>
        <v/>
      </c>
      <c r="E86" s="5" t="str">
        <f aca="false">IF(C86="","",VLOOKUP(C86,PRECIOS!A:C,3,FALSE()))</f>
        <v/>
      </c>
      <c r="F86" s="5" t="str">
        <f aca="false">IF(C86="","",VLOOKUP(C86,PRECIOS!A:D,4,FALSE()))</f>
        <v/>
      </c>
      <c r="G86" s="5" t="str">
        <f aca="false">IF(F86="","",F86*0.2)</f>
        <v/>
      </c>
      <c r="H86" s="5" t="str">
        <f aca="false">IF(F86="","",F86*0.8)</f>
        <v/>
      </c>
    </row>
    <row r="87" customFormat="false" ht="15.75" hidden="false" customHeight="true" outlineLevel="0" collapsed="false">
      <c r="A87" s="5"/>
      <c r="B87" s="5"/>
      <c r="C87" s="5"/>
      <c r="D87" s="5" t="str">
        <f aca="false">IF(C87="","",VLOOKUP(C87,PRECIOS!A:B,2,FALSE()))</f>
        <v/>
      </c>
      <c r="E87" s="5" t="str">
        <f aca="false">IF(C87="","",VLOOKUP(C87,PRECIOS!A:C,3,FALSE()))</f>
        <v/>
      </c>
      <c r="F87" s="5" t="str">
        <f aca="false">IF(C87="","",VLOOKUP(C87,PRECIOS!A:D,4,FALSE()))</f>
        <v/>
      </c>
      <c r="G87" s="5" t="str">
        <f aca="false">IF(F87="","",F87*0.2)</f>
        <v/>
      </c>
      <c r="H87" s="5" t="str">
        <f aca="false">IF(F87="","",F87*0.8)</f>
        <v/>
      </c>
    </row>
    <row r="88" customFormat="false" ht="15.75" hidden="false" customHeight="true" outlineLevel="0" collapsed="false">
      <c r="A88" s="5"/>
      <c r="B88" s="5"/>
      <c r="C88" s="5"/>
      <c r="D88" s="5" t="str">
        <f aca="false">IF(C88="","",VLOOKUP(C88,PRECIOS!A:B,2,FALSE()))</f>
        <v/>
      </c>
      <c r="E88" s="5" t="str">
        <f aca="false">IF(C88="","",VLOOKUP(C88,PRECIOS!A:C,3,FALSE()))</f>
        <v/>
      </c>
      <c r="F88" s="5" t="str">
        <f aca="false">IF(C88="","",VLOOKUP(C88,PRECIOS!A:D,4,FALSE()))</f>
        <v/>
      </c>
      <c r="G88" s="5" t="str">
        <f aca="false">IF(F88="","",F88*0.2)</f>
        <v/>
      </c>
      <c r="H88" s="5" t="str">
        <f aca="false">IF(F88="","",F88*0.8)</f>
        <v/>
      </c>
    </row>
    <row r="89" customFormat="false" ht="15.75" hidden="false" customHeight="true" outlineLevel="0" collapsed="false">
      <c r="A89" s="5"/>
      <c r="B89" s="5"/>
      <c r="C89" s="5"/>
      <c r="D89" s="5" t="str">
        <f aca="false">IF(C89="","",VLOOKUP(C89,PRECIOS!A:B,2,FALSE()))</f>
        <v/>
      </c>
      <c r="E89" s="5" t="str">
        <f aca="false">IF(C89="","",VLOOKUP(C89,PRECIOS!A:C,3,FALSE()))</f>
        <v/>
      </c>
      <c r="F89" s="5" t="str">
        <f aca="false">IF(C89="","",VLOOKUP(C89,PRECIOS!A:D,4,FALSE()))</f>
        <v/>
      </c>
      <c r="G89" s="5" t="str">
        <f aca="false">IF(F89="","",F89*0.2)</f>
        <v/>
      </c>
      <c r="H89" s="5" t="str">
        <f aca="false">IF(F89="","",F89*0.8)</f>
        <v/>
      </c>
    </row>
    <row r="90" customFormat="false" ht="15.75" hidden="false" customHeight="true" outlineLevel="0" collapsed="false">
      <c r="A90" s="5"/>
      <c r="B90" s="5"/>
      <c r="C90" s="5"/>
      <c r="D90" s="5" t="str">
        <f aca="false">IF(C90="","",VLOOKUP(C90,PRECIOS!A:B,2,FALSE()))</f>
        <v/>
      </c>
      <c r="E90" s="5" t="str">
        <f aca="false">IF(C90="","",VLOOKUP(C90,PRECIOS!A:C,3,FALSE()))</f>
        <v/>
      </c>
      <c r="F90" s="5" t="str">
        <f aca="false">IF(C90="","",VLOOKUP(C90,PRECIOS!A:D,4,FALSE()))</f>
        <v/>
      </c>
      <c r="G90" s="5" t="str">
        <f aca="false">IF(F90="","",F90*0.2)</f>
        <v/>
      </c>
      <c r="H90" s="5" t="str">
        <f aca="false">IF(F90="","",F90*0.8)</f>
        <v/>
      </c>
    </row>
    <row r="91" customFormat="false" ht="15.75" hidden="false" customHeight="true" outlineLevel="0" collapsed="false">
      <c r="A91" s="5"/>
      <c r="B91" s="5"/>
      <c r="C91" s="5"/>
      <c r="D91" s="5" t="str">
        <f aca="false">IF(C91="","",VLOOKUP(C91,PRECIOS!A:B,2,FALSE()))</f>
        <v/>
      </c>
      <c r="E91" s="5" t="str">
        <f aca="false">IF(C91="","",VLOOKUP(C91,PRECIOS!A:C,3,FALSE()))</f>
        <v/>
      </c>
      <c r="F91" s="5" t="str">
        <f aca="false">IF(C91="","",VLOOKUP(C91,PRECIOS!A:D,4,FALSE()))</f>
        <v/>
      </c>
      <c r="G91" s="5" t="str">
        <f aca="false">IF(F91="","",F91*0.2)</f>
        <v/>
      </c>
      <c r="H91" s="5" t="str">
        <f aca="false">IF(F91="","",F91*0.8)</f>
        <v/>
      </c>
    </row>
    <row r="92" customFormat="false" ht="15.75" hidden="false" customHeight="true" outlineLevel="0" collapsed="false">
      <c r="A92" s="5"/>
      <c r="B92" s="5"/>
      <c r="C92" s="5"/>
      <c r="D92" s="5" t="str">
        <f aca="false">IF(C92="","",VLOOKUP(C92,PRECIOS!A:B,2,FALSE()))</f>
        <v/>
      </c>
      <c r="E92" s="5" t="str">
        <f aca="false">IF(C92="","",VLOOKUP(C92,PRECIOS!A:C,3,FALSE()))</f>
        <v/>
      </c>
      <c r="F92" s="5" t="str">
        <f aca="false">IF(C92="","",VLOOKUP(C92,PRECIOS!A:D,4,FALSE()))</f>
        <v/>
      </c>
      <c r="G92" s="5" t="str">
        <f aca="false">IF(F92="","",F92*0.2)</f>
        <v/>
      </c>
      <c r="H92" s="5" t="str">
        <f aca="false">IF(F92="","",F92*0.8)</f>
        <v/>
      </c>
    </row>
    <row r="93" customFormat="false" ht="15.75" hidden="false" customHeight="true" outlineLevel="0" collapsed="false">
      <c r="A93" s="5"/>
      <c r="B93" s="5"/>
      <c r="C93" s="5"/>
      <c r="D93" s="5" t="str">
        <f aca="false">IF(C93="","",VLOOKUP(C93,PRECIOS!A:B,2,FALSE()))</f>
        <v/>
      </c>
      <c r="E93" s="5" t="str">
        <f aca="false">IF(C93="","",VLOOKUP(C93,PRECIOS!A:C,3,FALSE()))</f>
        <v/>
      </c>
      <c r="F93" s="5" t="str">
        <f aca="false">IF(C93="","",VLOOKUP(C93,PRECIOS!A:D,4,FALSE()))</f>
        <v/>
      </c>
      <c r="G93" s="5" t="str">
        <f aca="false">IF(F93="","",F93*0.2)</f>
        <v/>
      </c>
      <c r="H93" s="5" t="str">
        <f aca="false">IF(F93="","",F93*0.8)</f>
        <v/>
      </c>
    </row>
    <row r="94" customFormat="false" ht="15.75" hidden="false" customHeight="true" outlineLevel="0" collapsed="false">
      <c r="A94" s="5"/>
      <c r="B94" s="5"/>
      <c r="C94" s="5"/>
      <c r="D94" s="5" t="str">
        <f aca="false">IF(C94="","",VLOOKUP(C94,PRECIOS!A:B,2,FALSE()))</f>
        <v/>
      </c>
      <c r="E94" s="5" t="str">
        <f aca="false">IF(C94="","",VLOOKUP(C94,PRECIOS!A:C,3,FALSE()))</f>
        <v/>
      </c>
      <c r="F94" s="5" t="str">
        <f aca="false">IF(C94="","",VLOOKUP(C94,PRECIOS!A:D,4,FALSE()))</f>
        <v/>
      </c>
      <c r="G94" s="5" t="str">
        <f aca="false">IF(F94="","",F94*0.2)</f>
        <v/>
      </c>
      <c r="H94" s="5" t="str">
        <f aca="false">IF(F94="","",F94*0.8)</f>
        <v/>
      </c>
    </row>
    <row r="95" customFormat="false" ht="15.75" hidden="false" customHeight="true" outlineLevel="0" collapsed="false">
      <c r="A95" s="5"/>
      <c r="B95" s="5"/>
      <c r="C95" s="5"/>
      <c r="D95" s="5" t="str">
        <f aca="false">IF(C95="","",VLOOKUP(C95,PRECIOS!A:B,2,FALSE()))</f>
        <v/>
      </c>
      <c r="E95" s="5" t="str">
        <f aca="false">IF(C95="","",VLOOKUP(C95,PRECIOS!A:C,3,FALSE()))</f>
        <v/>
      </c>
      <c r="F95" s="5" t="str">
        <f aca="false">IF(C95="","",VLOOKUP(C95,PRECIOS!A:D,4,FALSE()))</f>
        <v/>
      </c>
      <c r="G95" s="5" t="str">
        <f aca="false">IF(F95="","",F95*0.2)</f>
        <v/>
      </c>
      <c r="H95" s="5" t="str">
        <f aca="false">IF(F95="","",F95*0.8)</f>
        <v/>
      </c>
    </row>
    <row r="96" customFormat="false" ht="15.75" hidden="false" customHeight="true" outlineLevel="0" collapsed="false">
      <c r="A96" s="5"/>
      <c r="B96" s="5"/>
      <c r="C96" s="5"/>
      <c r="D96" s="5" t="str">
        <f aca="false">IF(C96="","",VLOOKUP(C96,PRECIOS!A:B,2,FALSE()))</f>
        <v/>
      </c>
      <c r="E96" s="5" t="str">
        <f aca="false">IF(C96="","",VLOOKUP(C96,PRECIOS!A:C,3,FALSE()))</f>
        <v/>
      </c>
      <c r="F96" s="5" t="str">
        <f aca="false">IF(C96="","",VLOOKUP(C96,PRECIOS!A:D,4,FALSE()))</f>
        <v/>
      </c>
      <c r="G96" s="5" t="str">
        <f aca="false">IF(F96="","",F96*0.2)</f>
        <v/>
      </c>
      <c r="H96" s="5" t="str">
        <f aca="false">IF(F96="","",F96*0.8)</f>
        <v/>
      </c>
    </row>
    <row r="97" customFormat="false" ht="15.75" hidden="false" customHeight="true" outlineLevel="0" collapsed="false">
      <c r="A97" s="5"/>
      <c r="B97" s="5"/>
      <c r="C97" s="5"/>
      <c r="D97" s="5" t="str">
        <f aca="false">IF(C97="","",VLOOKUP(C97,PRECIOS!A:B,2,FALSE()))</f>
        <v/>
      </c>
      <c r="E97" s="5" t="str">
        <f aca="false">IF(C97="","",VLOOKUP(C97,PRECIOS!A:C,3,FALSE()))</f>
        <v/>
      </c>
      <c r="F97" s="5" t="str">
        <f aca="false">IF(C97="","",VLOOKUP(C97,PRECIOS!A:D,4,FALSE()))</f>
        <v/>
      </c>
      <c r="G97" s="5" t="str">
        <f aca="false">IF(F97="","",F97*0.2)</f>
        <v/>
      </c>
      <c r="H97" s="5" t="str">
        <f aca="false">IF(F97="","",F97*0.8)</f>
        <v/>
      </c>
    </row>
    <row r="98" customFormat="false" ht="15.75" hidden="false" customHeight="true" outlineLevel="0" collapsed="false">
      <c r="A98" s="5"/>
      <c r="B98" s="5"/>
      <c r="C98" s="5"/>
      <c r="D98" s="5" t="str">
        <f aca="false">IF(C98="","",VLOOKUP(C98,PRECIOS!A:B,2,FALSE()))</f>
        <v/>
      </c>
      <c r="E98" s="5" t="str">
        <f aca="false">IF(C98="","",VLOOKUP(C98,PRECIOS!A:C,3,FALSE()))</f>
        <v/>
      </c>
      <c r="F98" s="5" t="str">
        <f aca="false">IF(C98="","",VLOOKUP(C98,PRECIOS!A:D,4,FALSE()))</f>
        <v/>
      </c>
      <c r="G98" s="5" t="str">
        <f aca="false">IF(F98="","",F98*0.2)</f>
        <v/>
      </c>
      <c r="H98" s="5" t="str">
        <f aca="false">IF(F98="","",F98*0.8)</f>
        <v/>
      </c>
    </row>
    <row r="99" customFormat="false" ht="15.75" hidden="false" customHeight="true" outlineLevel="0" collapsed="false">
      <c r="A99" s="5"/>
      <c r="B99" s="5"/>
      <c r="C99" s="5"/>
      <c r="D99" s="5" t="str">
        <f aca="false">IF(C99="","",VLOOKUP(C99,PRECIOS!A:B,2,FALSE()))</f>
        <v/>
      </c>
      <c r="E99" s="5" t="str">
        <f aca="false">IF(C99="","",VLOOKUP(C99,PRECIOS!A:C,3,FALSE()))</f>
        <v/>
      </c>
      <c r="F99" s="5" t="str">
        <f aca="false">IF(C99="","",VLOOKUP(C99,PRECIOS!A:D,4,FALSE()))</f>
        <v/>
      </c>
      <c r="G99" s="5" t="str">
        <f aca="false">IF(F99="","",F99*0.2)</f>
        <v/>
      </c>
      <c r="H99" s="5" t="str">
        <f aca="false">IF(F99="","",F99*0.8)</f>
        <v/>
      </c>
    </row>
    <row r="100" customFormat="false" ht="15.75" hidden="false" customHeight="true" outlineLevel="0" collapsed="false">
      <c r="A100" s="5"/>
      <c r="B100" s="5"/>
      <c r="C100" s="5"/>
      <c r="D100" s="5" t="str">
        <f aca="false">IF(C100="","",VLOOKUP(C100,PRECIOS!A:B,2,FALSE()))</f>
        <v/>
      </c>
      <c r="E100" s="5" t="str">
        <f aca="false">IF(C100="","",VLOOKUP(C100,PRECIOS!A:C,3,FALSE()))</f>
        <v/>
      </c>
      <c r="F100" s="5" t="str">
        <f aca="false">IF(C100="","",VLOOKUP(C100,PRECIOS!A:D,4,FALSE()))</f>
        <v/>
      </c>
      <c r="G100" s="5" t="str">
        <f aca="false">IF(F100="","",F100*0.2)</f>
        <v/>
      </c>
      <c r="H100" s="5" t="str">
        <f aca="false">IF(F100="","",F100*0.8)</f>
        <v/>
      </c>
    </row>
  </sheetData>
  <dataValidations count="1">
    <dataValidation allowBlank="true" errorStyle="stop" operator="between" showDropDown="false" showErrorMessage="true" showInputMessage="false" sqref="C2:C6 C8:C11 C13:C100" type="list">
      <formula1>PRECIOS!$I$1:$I$48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1" min="1" style="1" width="18.89"/>
    <col collapsed="false" customWidth="true" hidden="false" outlineLevel="0" max="2" min="2" style="1" width="17"/>
    <col collapsed="false" customWidth="true" hidden="false" outlineLevel="0" max="4" min="4" style="1" width="21.89"/>
    <col collapsed="false" customWidth="true" hidden="false" outlineLevel="0" max="5" min="5" style="1" width="21.11"/>
    <col collapsed="false" customWidth="true" hidden="false" outlineLevel="0" max="8" min="8" style="1" width="5.22"/>
    <col collapsed="false" customWidth="true" hidden="false" outlineLevel="0" max="9" min="9" style="1" width="18.22"/>
    <col collapsed="false" customWidth="true" hidden="false" outlineLevel="0" max="10" min="10" style="1" width="15.56"/>
  </cols>
  <sheetData>
    <row r="1" customFormat="false" ht="41.25" hidden="false" customHeight="true" outlineLevel="0" collapsed="false">
      <c r="A1" s="10" t="s">
        <v>8</v>
      </c>
      <c r="B1" s="10" t="s">
        <v>3</v>
      </c>
      <c r="C1" s="10" t="s">
        <v>4</v>
      </c>
      <c r="D1" s="10" t="s">
        <v>9</v>
      </c>
      <c r="E1" s="10" t="s">
        <v>10</v>
      </c>
      <c r="F1" s="10" t="s">
        <v>11</v>
      </c>
      <c r="I1" s="11" t="s">
        <v>12</v>
      </c>
      <c r="J1" s="11" t="n">
        <v>0</v>
      </c>
    </row>
    <row r="2" customFormat="false" ht="15.75" hidden="false" customHeight="true" outlineLevel="0" collapsed="false">
      <c r="A2" s="5" t="s">
        <v>12</v>
      </c>
      <c r="B2" s="5" t="s">
        <v>12</v>
      </c>
      <c r="C2" s="5" t="n">
        <v>0</v>
      </c>
      <c r="D2" s="5" t="n">
        <v>0</v>
      </c>
      <c r="E2" s="5" t="n">
        <v>0</v>
      </c>
      <c r="F2" s="5" t="n">
        <v>0</v>
      </c>
      <c r="I2" s="12" t="s">
        <v>13</v>
      </c>
      <c r="J2" s="13" t="n">
        <v>56000</v>
      </c>
    </row>
    <row r="3" customFormat="false" ht="15.75" hidden="false" customHeight="true" outlineLevel="0" collapsed="false">
      <c r="A3" s="14" t="s">
        <v>14</v>
      </c>
      <c r="B3" s="14" t="s">
        <v>14</v>
      </c>
      <c r="C3" s="6" t="n">
        <f aca="false">D3/1.25</f>
        <v>264000</v>
      </c>
      <c r="D3" s="15" t="n">
        <v>330000</v>
      </c>
      <c r="E3" s="6" t="n">
        <f aca="false">D3-C3</f>
        <v>66000</v>
      </c>
      <c r="F3" s="6" t="n">
        <f aca="false">D3-E3</f>
        <v>264000</v>
      </c>
      <c r="I3" s="12" t="s">
        <v>15</v>
      </c>
      <c r="J3" s="13" t="n">
        <v>70000</v>
      </c>
    </row>
    <row r="4" customFormat="false" ht="15.75" hidden="false" customHeight="true" outlineLevel="0" collapsed="false">
      <c r="A4" s="14" t="s">
        <v>16</v>
      </c>
      <c r="B4" s="14" t="s">
        <v>16</v>
      </c>
      <c r="C4" s="6" t="n">
        <f aca="false">D4/1.25</f>
        <v>240000</v>
      </c>
      <c r="D4" s="15" t="n">
        <v>300000</v>
      </c>
      <c r="E4" s="6" t="n">
        <f aca="false">D4-C4</f>
        <v>60000</v>
      </c>
      <c r="F4" s="6" t="n">
        <f aca="false">D4-E4</f>
        <v>240000</v>
      </c>
      <c r="I4" s="12" t="s">
        <v>17</v>
      </c>
      <c r="J4" s="13" t="n">
        <v>90000</v>
      </c>
    </row>
    <row r="5" customFormat="false" ht="15.75" hidden="false" customHeight="true" outlineLevel="0" collapsed="false">
      <c r="A5" s="14" t="s">
        <v>18</v>
      </c>
      <c r="B5" s="14" t="s">
        <v>18</v>
      </c>
      <c r="C5" s="6" t="n">
        <f aca="false">D5/1.25</f>
        <v>160000</v>
      </c>
      <c r="D5" s="15" t="n">
        <v>200000</v>
      </c>
      <c r="E5" s="6" t="n">
        <f aca="false">D5-C5</f>
        <v>40000</v>
      </c>
      <c r="F5" s="6" t="n">
        <f aca="false">D5-E5</f>
        <v>160000</v>
      </c>
      <c r="I5" s="12" t="s">
        <v>19</v>
      </c>
      <c r="J5" s="13" t="n">
        <v>100000</v>
      </c>
    </row>
    <row r="6" customFormat="false" ht="15.75" hidden="false" customHeight="true" outlineLevel="0" collapsed="false">
      <c r="A6" s="14" t="s">
        <v>20</v>
      </c>
      <c r="B6" s="14" t="s">
        <v>20</v>
      </c>
      <c r="C6" s="6" t="n">
        <f aca="false">D6/1.25</f>
        <v>240000</v>
      </c>
      <c r="D6" s="15" t="n">
        <v>300000</v>
      </c>
      <c r="E6" s="6" t="n">
        <f aca="false">D6-C6</f>
        <v>60000</v>
      </c>
      <c r="F6" s="6" t="n">
        <f aca="false">D6-E6</f>
        <v>240000</v>
      </c>
      <c r="I6" s="12" t="s">
        <v>21</v>
      </c>
      <c r="J6" s="13" t="n">
        <v>120000</v>
      </c>
    </row>
    <row r="7" customFormat="false" ht="15.75" hidden="false" customHeight="true" outlineLevel="0" collapsed="false">
      <c r="A7" s="14" t="s">
        <v>22</v>
      </c>
      <c r="B7" s="14" t="s">
        <v>22</v>
      </c>
      <c r="C7" s="6" t="n">
        <f aca="false">D7/1.25</f>
        <v>136000</v>
      </c>
      <c r="D7" s="15" t="n">
        <v>170000</v>
      </c>
      <c r="E7" s="6" t="n">
        <f aca="false">D7-C7</f>
        <v>34000</v>
      </c>
      <c r="F7" s="6" t="n">
        <f aca="false">D7-E7</f>
        <v>136000</v>
      </c>
      <c r="I7" s="12" t="s">
        <v>23</v>
      </c>
      <c r="J7" s="13" t="n">
        <v>120000</v>
      </c>
    </row>
    <row r="8" customFormat="false" ht="15.75" hidden="false" customHeight="true" outlineLevel="0" collapsed="false">
      <c r="A8" s="14" t="s">
        <v>24</v>
      </c>
      <c r="B8" s="14" t="s">
        <v>24</v>
      </c>
      <c r="C8" s="6" t="n">
        <f aca="false">D8/1.25</f>
        <v>376000</v>
      </c>
      <c r="D8" s="15" t="n">
        <v>470000</v>
      </c>
      <c r="E8" s="6" t="n">
        <f aca="false">D8-C8</f>
        <v>94000</v>
      </c>
      <c r="F8" s="6" t="n">
        <f aca="false">D8-E8</f>
        <v>376000</v>
      </c>
      <c r="I8" s="12" t="s">
        <v>25</v>
      </c>
      <c r="J8" s="13" t="n">
        <v>125000</v>
      </c>
    </row>
    <row r="9" customFormat="false" ht="15.75" hidden="false" customHeight="true" outlineLevel="0" collapsed="false">
      <c r="A9" s="14" t="s">
        <v>26</v>
      </c>
      <c r="B9" s="14" t="s">
        <v>26</v>
      </c>
      <c r="C9" s="6" t="n">
        <f aca="false">D9/1.25</f>
        <v>288000</v>
      </c>
      <c r="D9" s="15" t="n">
        <v>360000</v>
      </c>
      <c r="E9" s="6" t="n">
        <f aca="false">D9-C9</f>
        <v>72000</v>
      </c>
      <c r="F9" s="6" t="n">
        <f aca="false">D9-E9</f>
        <v>288000</v>
      </c>
      <c r="I9" s="12" t="s">
        <v>27</v>
      </c>
      <c r="J9" s="13" t="n">
        <v>125000</v>
      </c>
    </row>
    <row r="10" customFormat="false" ht="15.75" hidden="false" customHeight="true" outlineLevel="0" collapsed="false">
      <c r="A10" s="14" t="s">
        <v>28</v>
      </c>
      <c r="B10" s="14" t="s">
        <v>28</v>
      </c>
      <c r="C10" s="6" t="n">
        <f aca="false">D10/1.25</f>
        <v>400000</v>
      </c>
      <c r="D10" s="15" t="n">
        <v>500000</v>
      </c>
      <c r="E10" s="6" t="n">
        <f aca="false">D10-C10</f>
        <v>100000</v>
      </c>
      <c r="F10" s="6" t="n">
        <f aca="false">D10-E10</f>
        <v>400000</v>
      </c>
      <c r="I10" s="12" t="s">
        <v>29</v>
      </c>
      <c r="J10" s="13" t="n">
        <v>145000</v>
      </c>
    </row>
    <row r="11" customFormat="false" ht="15.75" hidden="false" customHeight="true" outlineLevel="0" collapsed="false">
      <c r="A11" s="14" t="s">
        <v>30</v>
      </c>
      <c r="B11" s="14" t="s">
        <v>30</v>
      </c>
      <c r="C11" s="6" t="n">
        <f aca="false">D11/1.25</f>
        <v>136000</v>
      </c>
      <c r="D11" s="15" t="n">
        <v>170000</v>
      </c>
      <c r="E11" s="6" t="n">
        <f aca="false">D11-C11</f>
        <v>34000</v>
      </c>
      <c r="F11" s="6" t="n">
        <f aca="false">D11-E11</f>
        <v>136000</v>
      </c>
      <c r="I11" s="12" t="s">
        <v>31</v>
      </c>
      <c r="J11" s="13" t="n">
        <v>150000</v>
      </c>
    </row>
    <row r="12" customFormat="false" ht="15.75" hidden="false" customHeight="true" outlineLevel="0" collapsed="false">
      <c r="A12" s="14" t="s">
        <v>32</v>
      </c>
      <c r="B12" s="14" t="s">
        <v>32</v>
      </c>
      <c r="C12" s="6" t="n">
        <f aca="false">D12/1.25</f>
        <v>224000</v>
      </c>
      <c r="D12" s="15" t="n">
        <v>280000</v>
      </c>
      <c r="E12" s="6" t="n">
        <f aca="false">D12-C12</f>
        <v>56000</v>
      </c>
      <c r="F12" s="6" t="n">
        <f aca="false">D12-E12</f>
        <v>224000</v>
      </c>
      <c r="I12" s="12" t="s">
        <v>33</v>
      </c>
      <c r="J12" s="13" t="n">
        <v>150000</v>
      </c>
    </row>
    <row r="13" customFormat="false" ht="15.75" hidden="false" customHeight="true" outlineLevel="0" collapsed="false">
      <c r="A13" s="14" t="s">
        <v>34</v>
      </c>
      <c r="B13" s="14" t="s">
        <v>34</v>
      </c>
      <c r="C13" s="6" t="n">
        <f aca="false">D13/1.25</f>
        <v>216000</v>
      </c>
      <c r="D13" s="15" t="n">
        <v>270000</v>
      </c>
      <c r="E13" s="6" t="n">
        <f aca="false">D13-C13</f>
        <v>54000</v>
      </c>
      <c r="F13" s="6" t="n">
        <f aca="false">D13-E13</f>
        <v>216000</v>
      </c>
      <c r="I13" s="12" t="s">
        <v>35</v>
      </c>
      <c r="J13" s="13" t="n">
        <v>150000</v>
      </c>
    </row>
    <row r="14" customFormat="false" ht="15.75" hidden="false" customHeight="true" outlineLevel="0" collapsed="false">
      <c r="A14" s="14" t="s">
        <v>36</v>
      </c>
      <c r="B14" s="14" t="s">
        <v>36</v>
      </c>
      <c r="C14" s="6" t="n">
        <f aca="false">D14/1.25</f>
        <v>176000</v>
      </c>
      <c r="D14" s="15" t="n">
        <v>220000</v>
      </c>
      <c r="E14" s="6" t="n">
        <f aca="false">D14-C14</f>
        <v>44000</v>
      </c>
      <c r="F14" s="6" t="n">
        <f aca="false">D14-E14</f>
        <v>176000</v>
      </c>
      <c r="I14" s="12" t="s">
        <v>37</v>
      </c>
      <c r="J14" s="13" t="n">
        <v>156250</v>
      </c>
    </row>
    <row r="15" customFormat="false" ht="15.75" hidden="false" customHeight="true" outlineLevel="0" collapsed="false">
      <c r="A15" s="14" t="s">
        <v>38</v>
      </c>
      <c r="B15" s="14" t="s">
        <v>38</v>
      </c>
      <c r="C15" s="6" t="n">
        <f aca="false">D15/1.25</f>
        <v>144000</v>
      </c>
      <c r="D15" s="15" t="n">
        <v>180000</v>
      </c>
      <c r="E15" s="6" t="n">
        <f aca="false">D15-C15</f>
        <v>36000</v>
      </c>
      <c r="F15" s="6" t="n">
        <f aca="false">D15-E15</f>
        <v>144000</v>
      </c>
      <c r="I15" s="12" t="s">
        <v>39</v>
      </c>
      <c r="J15" s="13" t="n">
        <v>160000</v>
      </c>
    </row>
    <row r="16" customFormat="false" ht="15.75" hidden="false" customHeight="true" outlineLevel="0" collapsed="false">
      <c r="A16" s="14" t="s">
        <v>40</v>
      </c>
      <c r="B16" s="14" t="s">
        <v>40</v>
      </c>
      <c r="C16" s="6" t="n">
        <f aca="false">D16/1.25</f>
        <v>208000</v>
      </c>
      <c r="D16" s="15" t="n">
        <v>260000</v>
      </c>
      <c r="E16" s="6" t="n">
        <f aca="false">D16-C16</f>
        <v>52000</v>
      </c>
      <c r="F16" s="6" t="n">
        <f aca="false">D16-E16</f>
        <v>208000</v>
      </c>
      <c r="I16" s="12" t="s">
        <v>41</v>
      </c>
      <c r="J16" s="13" t="n">
        <v>163000</v>
      </c>
    </row>
    <row r="17" customFormat="false" ht="15.75" hidden="false" customHeight="true" outlineLevel="0" collapsed="false">
      <c r="A17" s="14" t="s">
        <v>42</v>
      </c>
      <c r="B17" s="14" t="s">
        <v>42</v>
      </c>
      <c r="C17" s="6" t="n">
        <f aca="false">D17/1.25</f>
        <v>224000</v>
      </c>
      <c r="D17" s="15" t="n">
        <v>280000</v>
      </c>
      <c r="E17" s="6" t="n">
        <f aca="false">D17-C17</f>
        <v>56000</v>
      </c>
      <c r="F17" s="6" t="n">
        <f aca="false">D17-E17</f>
        <v>224000</v>
      </c>
      <c r="I17" s="12" t="s">
        <v>22</v>
      </c>
      <c r="J17" s="13" t="n">
        <v>170000</v>
      </c>
    </row>
    <row r="18" customFormat="false" ht="15.75" hidden="false" customHeight="true" outlineLevel="0" collapsed="false">
      <c r="A18" s="14" t="s">
        <v>43</v>
      </c>
      <c r="B18" s="14" t="s">
        <v>43</v>
      </c>
      <c r="C18" s="6" t="n">
        <f aca="false">D18/1.25</f>
        <v>368000</v>
      </c>
      <c r="D18" s="15" t="n">
        <v>460000</v>
      </c>
      <c r="E18" s="6" t="n">
        <f aca="false">D18-C18</f>
        <v>92000</v>
      </c>
      <c r="F18" s="6" t="n">
        <f aca="false">D18-E18</f>
        <v>368000</v>
      </c>
      <c r="I18" s="12" t="s">
        <v>30</v>
      </c>
      <c r="J18" s="13" t="n">
        <v>170000</v>
      </c>
    </row>
    <row r="19" customFormat="false" ht="15.75" hidden="false" customHeight="true" outlineLevel="0" collapsed="false">
      <c r="A19" s="14" t="s">
        <v>44</v>
      </c>
      <c r="B19" s="14" t="s">
        <v>44</v>
      </c>
      <c r="C19" s="6" t="n">
        <f aca="false">D19/1.25</f>
        <v>224000</v>
      </c>
      <c r="D19" s="15" t="n">
        <v>280000</v>
      </c>
      <c r="E19" s="6" t="n">
        <f aca="false">D19-C19</f>
        <v>56000</v>
      </c>
      <c r="F19" s="6" t="n">
        <f aca="false">D19-E19</f>
        <v>224000</v>
      </c>
      <c r="I19" s="12" t="s">
        <v>45</v>
      </c>
      <c r="J19" s="13" t="n">
        <v>170000</v>
      </c>
    </row>
    <row r="20" customFormat="false" ht="15.75" hidden="false" customHeight="true" outlineLevel="0" collapsed="false">
      <c r="A20" s="14" t="s">
        <v>46</v>
      </c>
      <c r="B20" s="14" t="s">
        <v>46</v>
      </c>
      <c r="C20" s="6" t="n">
        <f aca="false">D20/1.25</f>
        <v>256000</v>
      </c>
      <c r="D20" s="15" t="n">
        <v>320000</v>
      </c>
      <c r="E20" s="6" t="n">
        <f aca="false">D20-C20</f>
        <v>64000</v>
      </c>
      <c r="F20" s="6" t="n">
        <f aca="false">D20-E20</f>
        <v>256000</v>
      </c>
      <c r="I20" s="12" t="s">
        <v>47</v>
      </c>
      <c r="J20" s="13" t="n">
        <v>175000</v>
      </c>
    </row>
    <row r="21" customFormat="false" ht="15.75" hidden="false" customHeight="true" outlineLevel="0" collapsed="false">
      <c r="A21" s="14" t="s">
        <v>48</v>
      </c>
      <c r="B21" s="14" t="s">
        <v>48</v>
      </c>
      <c r="C21" s="6" t="n">
        <f aca="false">D21/1.25</f>
        <v>384000</v>
      </c>
      <c r="D21" s="15" t="n">
        <v>480000</v>
      </c>
      <c r="E21" s="6" t="n">
        <f aca="false">D21-C21</f>
        <v>96000</v>
      </c>
      <c r="F21" s="6" t="n">
        <f aca="false">D21-E21</f>
        <v>384000</v>
      </c>
      <c r="I21" s="12" t="s">
        <v>49</v>
      </c>
      <c r="J21" s="13" t="n">
        <v>175000</v>
      </c>
    </row>
    <row r="22" customFormat="false" ht="15.75" hidden="false" customHeight="true" outlineLevel="0" collapsed="false">
      <c r="A22" s="14" t="s">
        <v>37</v>
      </c>
      <c r="B22" s="14" t="s">
        <v>37</v>
      </c>
      <c r="C22" s="6" t="n">
        <f aca="false">D22/1.25</f>
        <v>125000</v>
      </c>
      <c r="D22" s="15" t="n">
        <v>156250</v>
      </c>
      <c r="E22" s="6" t="n">
        <f aca="false">D22-C22</f>
        <v>31250</v>
      </c>
      <c r="F22" s="6" t="n">
        <f aca="false">D22-E22</f>
        <v>125000</v>
      </c>
      <c r="I22" s="12" t="s">
        <v>50</v>
      </c>
      <c r="J22" s="13" t="n">
        <v>175000</v>
      </c>
    </row>
    <row r="23" customFormat="false" ht="15.75" hidden="false" customHeight="true" outlineLevel="0" collapsed="false">
      <c r="A23" s="14" t="s">
        <v>51</v>
      </c>
      <c r="B23" s="14" t="s">
        <v>51</v>
      </c>
      <c r="C23" s="6" t="n">
        <f aca="false">D23/1.25</f>
        <v>160000</v>
      </c>
      <c r="D23" s="15" t="n">
        <v>200000</v>
      </c>
      <c r="E23" s="6" t="n">
        <f aca="false">D23-C23</f>
        <v>40000</v>
      </c>
      <c r="F23" s="6" t="n">
        <f aca="false">D23-E23</f>
        <v>160000</v>
      </c>
      <c r="I23" s="12" t="s">
        <v>38</v>
      </c>
      <c r="J23" s="13" t="n">
        <v>180000</v>
      </c>
    </row>
    <row r="24" customFormat="false" ht="15.75" hidden="false" customHeight="true" outlineLevel="0" collapsed="false">
      <c r="A24" s="14" t="s">
        <v>52</v>
      </c>
      <c r="B24" s="14" t="s">
        <v>52</v>
      </c>
      <c r="C24" s="6" t="n">
        <f aca="false">D24/1.25</f>
        <v>160000</v>
      </c>
      <c r="D24" s="15" t="n">
        <v>200000</v>
      </c>
      <c r="E24" s="6" t="n">
        <f aca="false">D24-C24</f>
        <v>40000</v>
      </c>
      <c r="F24" s="6" t="n">
        <f aca="false">D24-E24</f>
        <v>160000</v>
      </c>
      <c r="I24" s="12" t="s">
        <v>53</v>
      </c>
      <c r="J24" s="13" t="n">
        <v>181000</v>
      </c>
    </row>
    <row r="25" customFormat="false" ht="15.75" hidden="false" customHeight="true" outlineLevel="0" collapsed="false">
      <c r="A25" s="14" t="s">
        <v>54</v>
      </c>
      <c r="B25" s="14" t="s">
        <v>54</v>
      </c>
      <c r="C25" s="6" t="n">
        <f aca="false">D25/1.25</f>
        <v>150000</v>
      </c>
      <c r="D25" s="15" t="n">
        <v>187500</v>
      </c>
      <c r="E25" s="6" t="n">
        <f aca="false">D25-C25</f>
        <v>37500</v>
      </c>
      <c r="F25" s="6" t="n">
        <f aca="false">D25-E25</f>
        <v>150000</v>
      </c>
      <c r="I25" s="12" t="s">
        <v>54</v>
      </c>
      <c r="J25" s="13" t="n">
        <v>187500</v>
      </c>
    </row>
    <row r="26" customFormat="false" ht="15.75" hidden="false" customHeight="true" outlineLevel="0" collapsed="false">
      <c r="A26" s="14" t="s">
        <v>55</v>
      </c>
      <c r="B26" s="14" t="s">
        <v>55</v>
      </c>
      <c r="C26" s="6" t="n">
        <f aca="false">D26/1.25</f>
        <v>176000</v>
      </c>
      <c r="D26" s="15" t="n">
        <v>220000</v>
      </c>
      <c r="E26" s="6" t="n">
        <f aca="false">D26-C26</f>
        <v>44000</v>
      </c>
      <c r="F26" s="6" t="n">
        <f aca="false">D26-E26</f>
        <v>176000</v>
      </c>
      <c r="I26" s="12" t="s">
        <v>56</v>
      </c>
      <c r="J26" s="13" t="n">
        <v>187500</v>
      </c>
    </row>
    <row r="27" customFormat="false" ht="15.75" hidden="false" customHeight="true" outlineLevel="0" collapsed="false">
      <c r="A27" s="14" t="s">
        <v>57</v>
      </c>
      <c r="B27" s="14" t="s">
        <v>57</v>
      </c>
      <c r="C27" s="6" t="n">
        <f aca="false">D27/1.25</f>
        <v>170000</v>
      </c>
      <c r="D27" s="15" t="n">
        <v>212500</v>
      </c>
      <c r="E27" s="6" t="n">
        <f aca="false">D27-C27</f>
        <v>42500</v>
      </c>
      <c r="F27" s="6" t="n">
        <f aca="false">D27-E27</f>
        <v>170000</v>
      </c>
      <c r="I27" s="12" t="s">
        <v>58</v>
      </c>
      <c r="J27" s="13" t="n">
        <v>188000</v>
      </c>
    </row>
    <row r="28" customFormat="false" ht="15.75" hidden="false" customHeight="true" outlineLevel="0" collapsed="false">
      <c r="A28" s="14" t="s">
        <v>59</v>
      </c>
      <c r="B28" s="14" t="s">
        <v>59</v>
      </c>
      <c r="C28" s="6" t="n">
        <f aca="false">D28/1.25</f>
        <v>272000</v>
      </c>
      <c r="D28" s="15" t="n">
        <v>340000</v>
      </c>
      <c r="E28" s="6" t="n">
        <f aca="false">D28-C28</f>
        <v>68000</v>
      </c>
      <c r="F28" s="6" t="n">
        <f aca="false">D28-E28</f>
        <v>272000</v>
      </c>
      <c r="I28" s="12" t="s">
        <v>18</v>
      </c>
      <c r="J28" s="13" t="n">
        <v>200000</v>
      </c>
    </row>
    <row r="29" customFormat="false" ht="15.75" hidden="false" customHeight="true" outlineLevel="0" collapsed="false">
      <c r="A29" s="14" t="s">
        <v>56</v>
      </c>
      <c r="B29" s="14" t="s">
        <v>56</v>
      </c>
      <c r="C29" s="6" t="n">
        <f aca="false">D29/1.25</f>
        <v>150000</v>
      </c>
      <c r="D29" s="15" t="n">
        <v>187500</v>
      </c>
      <c r="E29" s="6" t="n">
        <f aca="false">D29-C29</f>
        <v>37500</v>
      </c>
      <c r="F29" s="6" t="n">
        <f aca="false">D29-E29</f>
        <v>150000</v>
      </c>
      <c r="I29" s="12" t="s">
        <v>51</v>
      </c>
      <c r="J29" s="13" t="n">
        <v>200000</v>
      </c>
    </row>
    <row r="30" customFormat="false" ht="15.75" hidden="false" customHeight="true" outlineLevel="0" collapsed="false">
      <c r="A30" s="14" t="s">
        <v>60</v>
      </c>
      <c r="B30" s="14" t="s">
        <v>60</v>
      </c>
      <c r="C30" s="6" t="n">
        <f aca="false">D30/1.25</f>
        <v>175000</v>
      </c>
      <c r="D30" s="15" t="n">
        <v>218750</v>
      </c>
      <c r="E30" s="6" t="n">
        <f aca="false">D30-C30</f>
        <v>43750</v>
      </c>
      <c r="F30" s="6" t="n">
        <f aca="false">D30-E30</f>
        <v>175000</v>
      </c>
      <c r="I30" s="12" t="s">
        <v>52</v>
      </c>
      <c r="J30" s="13" t="n">
        <v>200000</v>
      </c>
    </row>
    <row r="31" customFormat="false" ht="15.75" hidden="false" customHeight="true" outlineLevel="0" collapsed="false">
      <c r="A31" s="14" t="s">
        <v>61</v>
      </c>
      <c r="B31" s="14" t="s">
        <v>61</v>
      </c>
      <c r="C31" s="6" t="n">
        <f aca="false">D31/1.25</f>
        <v>180000</v>
      </c>
      <c r="D31" s="15" t="n">
        <v>225000</v>
      </c>
      <c r="E31" s="6" t="n">
        <f aca="false">D31-C31</f>
        <v>45000</v>
      </c>
      <c r="F31" s="6" t="n">
        <f aca="false">D31-E31</f>
        <v>180000</v>
      </c>
      <c r="I31" s="12" t="s">
        <v>62</v>
      </c>
      <c r="J31" s="13" t="n">
        <v>200000</v>
      </c>
    </row>
    <row r="32" customFormat="false" ht="15.75" hidden="false" customHeight="true" outlineLevel="0" collapsed="false">
      <c r="A32" s="14" t="s">
        <v>63</v>
      </c>
      <c r="B32" s="14" t="s">
        <v>63</v>
      </c>
      <c r="C32" s="6" t="n">
        <f aca="false">D32/1.25</f>
        <v>560000</v>
      </c>
      <c r="D32" s="15" t="n">
        <v>700000</v>
      </c>
      <c r="E32" s="6" t="n">
        <f aca="false">D32-C32</f>
        <v>140000</v>
      </c>
      <c r="F32" s="6" t="n">
        <f aca="false">D32-E32</f>
        <v>560000</v>
      </c>
      <c r="I32" s="12" t="s">
        <v>64</v>
      </c>
      <c r="J32" s="13" t="n">
        <v>200000</v>
      </c>
    </row>
    <row r="33" customFormat="false" ht="15.75" hidden="false" customHeight="true" outlineLevel="0" collapsed="false">
      <c r="A33" s="14" t="s">
        <v>65</v>
      </c>
      <c r="B33" s="14" t="s">
        <v>65</v>
      </c>
      <c r="C33" s="6" t="n">
        <f aca="false">D33/1.25</f>
        <v>420000</v>
      </c>
      <c r="D33" s="15" t="n">
        <v>525000</v>
      </c>
      <c r="E33" s="6" t="n">
        <f aca="false">D33-C33</f>
        <v>105000</v>
      </c>
      <c r="F33" s="6" t="n">
        <f aca="false">D33-E33</f>
        <v>420000</v>
      </c>
      <c r="I33" s="12" t="s">
        <v>66</v>
      </c>
      <c r="J33" s="13" t="n">
        <v>200000</v>
      </c>
    </row>
    <row r="34" customFormat="false" ht="15.75" hidden="false" customHeight="true" outlineLevel="0" collapsed="false">
      <c r="A34" s="14" t="s">
        <v>67</v>
      </c>
      <c r="B34" s="14" t="s">
        <v>67</v>
      </c>
      <c r="C34" s="6" t="n">
        <f aca="false">D34/1.25</f>
        <v>380000</v>
      </c>
      <c r="D34" s="15" t="n">
        <v>475000</v>
      </c>
      <c r="E34" s="6" t="n">
        <f aca="false">D34-C34</f>
        <v>95000</v>
      </c>
      <c r="F34" s="6" t="n">
        <f aca="false">D34-E34</f>
        <v>380000</v>
      </c>
      <c r="I34" s="12" t="s">
        <v>57</v>
      </c>
      <c r="J34" s="13" t="n">
        <v>212500</v>
      </c>
    </row>
    <row r="35" customFormat="false" ht="15.75" hidden="false" customHeight="true" outlineLevel="0" collapsed="false">
      <c r="A35" s="14" t="s">
        <v>68</v>
      </c>
      <c r="B35" s="14" t="s">
        <v>68</v>
      </c>
      <c r="C35" s="6" t="n">
        <f aca="false">D35/1.25</f>
        <v>240000</v>
      </c>
      <c r="D35" s="15" t="n">
        <v>300000</v>
      </c>
      <c r="E35" s="6" t="n">
        <f aca="false">D35-C35</f>
        <v>60000</v>
      </c>
      <c r="F35" s="6" t="n">
        <f aca="false">D35-E35</f>
        <v>240000</v>
      </c>
      <c r="I35" s="12" t="s">
        <v>69</v>
      </c>
      <c r="J35" s="13" t="n">
        <v>215000</v>
      </c>
    </row>
    <row r="36" customFormat="false" ht="15.75" hidden="false" customHeight="true" outlineLevel="0" collapsed="false">
      <c r="A36" s="14" t="s">
        <v>62</v>
      </c>
      <c r="B36" s="14" t="s">
        <v>62</v>
      </c>
      <c r="C36" s="6" t="n">
        <f aca="false">D36/1.25</f>
        <v>160000</v>
      </c>
      <c r="D36" s="15" t="n">
        <v>200000</v>
      </c>
      <c r="E36" s="6" t="n">
        <f aca="false">D36-C36</f>
        <v>40000</v>
      </c>
      <c r="F36" s="6" t="n">
        <f aca="false">D36-E36</f>
        <v>160000</v>
      </c>
      <c r="I36" s="12" t="s">
        <v>70</v>
      </c>
      <c r="J36" s="13" t="n">
        <v>215000</v>
      </c>
    </row>
    <row r="37" customFormat="false" ht="15.75" hidden="false" customHeight="true" outlineLevel="0" collapsed="false">
      <c r="A37" s="14" t="s">
        <v>64</v>
      </c>
      <c r="B37" s="14" t="s">
        <v>64</v>
      </c>
      <c r="C37" s="6" t="n">
        <f aca="false">D37/1.25</f>
        <v>160000</v>
      </c>
      <c r="D37" s="15" t="n">
        <v>200000</v>
      </c>
      <c r="E37" s="6" t="n">
        <f aca="false">D37-C37</f>
        <v>40000</v>
      </c>
      <c r="F37" s="6" t="n">
        <f aca="false">D37-E37</f>
        <v>160000</v>
      </c>
      <c r="I37" s="12" t="s">
        <v>60</v>
      </c>
      <c r="J37" s="13" t="n">
        <v>218750</v>
      </c>
    </row>
    <row r="38" customFormat="false" ht="15.75" hidden="false" customHeight="true" outlineLevel="0" collapsed="false">
      <c r="A38" s="14" t="s">
        <v>71</v>
      </c>
      <c r="B38" s="14" t="s">
        <v>71</v>
      </c>
      <c r="C38" s="6" t="n">
        <f aca="false">D38/1.25</f>
        <v>240000</v>
      </c>
      <c r="D38" s="15" t="n">
        <v>300000</v>
      </c>
      <c r="E38" s="6" t="n">
        <f aca="false">D38-C38</f>
        <v>60000</v>
      </c>
      <c r="F38" s="6" t="n">
        <f aca="false">D38-E38</f>
        <v>240000</v>
      </c>
      <c r="I38" s="12" t="s">
        <v>72</v>
      </c>
      <c r="J38" s="13" t="n">
        <v>219000</v>
      </c>
    </row>
    <row r="39" customFormat="false" ht="15.75" hidden="false" customHeight="true" outlineLevel="0" collapsed="false">
      <c r="A39" s="14" t="s">
        <v>73</v>
      </c>
      <c r="B39" s="14" t="s">
        <v>73</v>
      </c>
      <c r="C39" s="6" t="n">
        <f aca="false">D39/1.25</f>
        <v>256000</v>
      </c>
      <c r="D39" s="15" t="n">
        <v>320000</v>
      </c>
      <c r="E39" s="6" t="n">
        <f aca="false">D39-C39</f>
        <v>64000</v>
      </c>
      <c r="F39" s="6" t="n">
        <f aca="false">D39-E39</f>
        <v>256000</v>
      </c>
      <c r="I39" s="12" t="s">
        <v>36</v>
      </c>
      <c r="J39" s="13" t="n">
        <v>220000</v>
      </c>
    </row>
    <row r="40" customFormat="false" ht="15.75" hidden="false" customHeight="true" outlineLevel="0" collapsed="false">
      <c r="A40" s="14" t="s">
        <v>74</v>
      </c>
      <c r="B40" s="14" t="s">
        <v>74</v>
      </c>
      <c r="C40" s="6" t="n">
        <f aca="false">D40/1.25</f>
        <v>200000</v>
      </c>
      <c r="D40" s="15" t="n">
        <v>250000</v>
      </c>
      <c r="E40" s="6" t="n">
        <f aca="false">D40-C40</f>
        <v>50000</v>
      </c>
      <c r="F40" s="6" t="n">
        <f aca="false">D40-E40</f>
        <v>200000</v>
      </c>
      <c r="I40" s="12" t="s">
        <v>55</v>
      </c>
      <c r="J40" s="13" t="n">
        <v>220000</v>
      </c>
    </row>
    <row r="41" customFormat="false" ht="15.75" hidden="false" customHeight="true" outlineLevel="0" collapsed="false">
      <c r="A41" s="14" t="s">
        <v>75</v>
      </c>
      <c r="B41" s="14" t="s">
        <v>75</v>
      </c>
      <c r="C41" s="6" t="n">
        <f aca="false">D41/1.25</f>
        <v>220000</v>
      </c>
      <c r="D41" s="15" t="n">
        <v>275000</v>
      </c>
      <c r="E41" s="6" t="n">
        <f aca="false">D41-C41</f>
        <v>55000</v>
      </c>
      <c r="F41" s="6" t="n">
        <f aca="false">D41-E41</f>
        <v>220000</v>
      </c>
      <c r="I41" s="12" t="s">
        <v>61</v>
      </c>
      <c r="J41" s="13" t="n">
        <v>225000</v>
      </c>
    </row>
    <row r="42" customFormat="false" ht="15.75" hidden="false" customHeight="true" outlineLevel="0" collapsed="false">
      <c r="A42" s="14" t="s">
        <v>76</v>
      </c>
      <c r="B42" s="14" t="s">
        <v>76</v>
      </c>
      <c r="C42" s="6" t="n">
        <f aca="false">D42/1.25</f>
        <v>180000</v>
      </c>
      <c r="D42" s="15" t="n">
        <v>225000</v>
      </c>
      <c r="E42" s="6" t="n">
        <f aca="false">D42-C42</f>
        <v>45000</v>
      </c>
      <c r="F42" s="6" t="n">
        <f aca="false">D42-E42</f>
        <v>180000</v>
      </c>
      <c r="I42" s="12" t="s">
        <v>76</v>
      </c>
      <c r="J42" s="13" t="n">
        <v>225000</v>
      </c>
    </row>
    <row r="43" customFormat="false" ht="15.75" hidden="false" customHeight="true" outlineLevel="0" collapsed="false">
      <c r="A43" s="14" t="s">
        <v>77</v>
      </c>
      <c r="B43" s="14" t="s">
        <v>77</v>
      </c>
      <c r="C43" s="6" t="n">
        <f aca="false">D43/1.25</f>
        <v>192000</v>
      </c>
      <c r="D43" s="15" t="n">
        <v>240000</v>
      </c>
      <c r="E43" s="6" t="n">
        <f aca="false">D43-C43</f>
        <v>48000</v>
      </c>
      <c r="F43" s="6" t="n">
        <f aca="false">D43-E43</f>
        <v>192000</v>
      </c>
      <c r="I43" s="12" t="s">
        <v>78</v>
      </c>
      <c r="J43" s="13" t="n">
        <v>225000</v>
      </c>
    </row>
    <row r="44" customFormat="false" ht="15.75" hidden="false" customHeight="true" outlineLevel="0" collapsed="false">
      <c r="A44" s="14" t="s">
        <v>31</v>
      </c>
      <c r="B44" s="14" t="s">
        <v>31</v>
      </c>
      <c r="C44" s="6" t="n">
        <f aca="false">D44/1.25</f>
        <v>120000</v>
      </c>
      <c r="D44" s="15" t="n">
        <v>150000</v>
      </c>
      <c r="E44" s="6" t="n">
        <f aca="false">D44-C44</f>
        <v>30000</v>
      </c>
      <c r="F44" s="6" t="n">
        <f aca="false">D44-E44</f>
        <v>120000</v>
      </c>
      <c r="I44" s="12" t="s">
        <v>79</v>
      </c>
      <c r="J44" s="13" t="n">
        <v>225000</v>
      </c>
    </row>
    <row r="45" customFormat="false" ht="15.75" hidden="false" customHeight="true" outlineLevel="0" collapsed="false">
      <c r="A45" s="14" t="s">
        <v>21</v>
      </c>
      <c r="B45" s="14" t="s">
        <v>21</v>
      </c>
      <c r="C45" s="6" t="n">
        <f aca="false">D45/1.25</f>
        <v>96000</v>
      </c>
      <c r="D45" s="15" t="n">
        <v>120000</v>
      </c>
      <c r="E45" s="6" t="n">
        <f aca="false">D45-C45</f>
        <v>24000</v>
      </c>
      <c r="F45" s="6" t="n">
        <f aca="false">D45-E45</f>
        <v>96000</v>
      </c>
      <c r="I45" s="12" t="s">
        <v>80</v>
      </c>
      <c r="J45" s="13" t="n">
        <v>225000</v>
      </c>
    </row>
    <row r="46" customFormat="false" ht="15.75" hidden="false" customHeight="true" outlineLevel="0" collapsed="false">
      <c r="A46" s="14" t="s">
        <v>17</v>
      </c>
      <c r="B46" s="14" t="s">
        <v>17</v>
      </c>
      <c r="C46" s="6" t="n">
        <f aca="false">D46/1.25</f>
        <v>72000</v>
      </c>
      <c r="D46" s="15" t="n">
        <v>90000</v>
      </c>
      <c r="E46" s="6" t="n">
        <f aca="false">D46-C46</f>
        <v>18000</v>
      </c>
      <c r="F46" s="6" t="n">
        <f aca="false">D46-E46</f>
        <v>72000</v>
      </c>
      <c r="I46" s="12" t="s">
        <v>81</v>
      </c>
      <c r="J46" s="13" t="n">
        <v>238000</v>
      </c>
    </row>
    <row r="47" customFormat="false" ht="15.75" hidden="false" customHeight="true" outlineLevel="0" collapsed="false">
      <c r="A47" s="14" t="s">
        <v>25</v>
      </c>
      <c r="B47" s="14" t="s">
        <v>25</v>
      </c>
      <c r="C47" s="6" t="n">
        <f aca="false">D47/1.25</f>
        <v>100000</v>
      </c>
      <c r="D47" s="15" t="n">
        <v>125000</v>
      </c>
      <c r="E47" s="6" t="n">
        <f aca="false">D47-C47</f>
        <v>25000</v>
      </c>
      <c r="F47" s="6" t="n">
        <f aca="false">D47-E47</f>
        <v>100000</v>
      </c>
      <c r="I47" s="12" t="s">
        <v>77</v>
      </c>
      <c r="J47" s="13" t="n">
        <v>240000</v>
      </c>
    </row>
    <row r="48" customFormat="false" ht="15.75" hidden="false" customHeight="true" outlineLevel="0" collapsed="false">
      <c r="A48" s="14" t="s">
        <v>45</v>
      </c>
      <c r="B48" s="14" t="s">
        <v>45</v>
      </c>
      <c r="C48" s="6" t="n">
        <f aca="false">D48/1.25</f>
        <v>136000</v>
      </c>
      <c r="D48" s="15" t="n">
        <v>170000</v>
      </c>
      <c r="E48" s="6" t="n">
        <f aca="false">D48-C48</f>
        <v>34000</v>
      </c>
      <c r="F48" s="6" t="n">
        <f aca="false">D48-E48</f>
        <v>136000</v>
      </c>
      <c r="I48" s="12" t="s">
        <v>82</v>
      </c>
      <c r="J48" s="13" t="n">
        <v>240000</v>
      </c>
    </row>
    <row r="49" customFormat="false" ht="15.75" hidden="false" customHeight="true" outlineLevel="0" collapsed="false">
      <c r="A49" s="14" t="s">
        <v>23</v>
      </c>
      <c r="B49" s="14" t="s">
        <v>23</v>
      </c>
      <c r="C49" s="6" t="n">
        <f aca="false">D49/1.25</f>
        <v>96000</v>
      </c>
      <c r="D49" s="15" t="n">
        <v>120000</v>
      </c>
      <c r="E49" s="6" t="n">
        <f aca="false">D49-C49</f>
        <v>24000</v>
      </c>
      <c r="F49" s="6" t="n">
        <f aca="false">D49-E49</f>
        <v>96000</v>
      </c>
      <c r="I49" s="16" t="s">
        <v>74</v>
      </c>
      <c r="J49" s="13" t="n">
        <v>250000</v>
      </c>
    </row>
    <row r="50" customFormat="false" ht="15.75" hidden="false" customHeight="true" outlineLevel="0" collapsed="false">
      <c r="A50" s="1" t="s">
        <v>39</v>
      </c>
      <c r="B50" s="1" t="s">
        <v>39</v>
      </c>
      <c r="C50" s="1" t="n">
        <f aca="false">D50/1.25</f>
        <v>128000</v>
      </c>
      <c r="D50" s="1" t="n">
        <v>160000</v>
      </c>
      <c r="E50" s="1" t="n">
        <f aca="false">D50-C50</f>
        <v>32000</v>
      </c>
      <c r="F50" s="1" t="n">
        <f aca="false">D50-E50</f>
        <v>128000</v>
      </c>
      <c r="I50" s="16" t="s">
        <v>83</v>
      </c>
      <c r="J50" s="13" t="n">
        <v>250000</v>
      </c>
    </row>
    <row r="51" customFormat="false" ht="15.75" hidden="false" customHeight="true" outlineLevel="0" collapsed="false">
      <c r="A51" s="1" t="s">
        <v>27</v>
      </c>
      <c r="B51" s="1" t="s">
        <v>27</v>
      </c>
      <c r="C51" s="1" t="n">
        <f aca="false">D51/1.25</f>
        <v>100000</v>
      </c>
      <c r="D51" s="1" t="n">
        <v>125000</v>
      </c>
      <c r="E51" s="1" t="n">
        <f aca="false">D51-C51</f>
        <v>25000</v>
      </c>
      <c r="F51" s="1" t="n">
        <f aca="false">D51-E51</f>
        <v>100000</v>
      </c>
      <c r="I51" s="16" t="s">
        <v>84</v>
      </c>
      <c r="J51" s="13" t="n">
        <v>250000</v>
      </c>
    </row>
    <row r="52" customFormat="false" ht="15.75" hidden="false" customHeight="true" outlineLevel="0" collapsed="false">
      <c r="A52" s="1" t="s">
        <v>85</v>
      </c>
      <c r="B52" s="1" t="s">
        <v>85</v>
      </c>
      <c r="C52" s="1" t="n">
        <f aca="false">D52/1.25</f>
        <v>208000</v>
      </c>
      <c r="D52" s="1" t="n">
        <v>260000</v>
      </c>
      <c r="E52" s="1" t="n">
        <f aca="false">D52-C52</f>
        <v>52000</v>
      </c>
      <c r="F52" s="1" t="n">
        <f aca="false">D52-E52</f>
        <v>208000</v>
      </c>
      <c r="I52" s="16" t="s">
        <v>86</v>
      </c>
      <c r="J52" s="13" t="n">
        <v>250000</v>
      </c>
    </row>
    <row r="53" customFormat="false" ht="15.75" hidden="false" customHeight="true" outlineLevel="0" collapsed="false">
      <c r="A53" s="1" t="s">
        <v>82</v>
      </c>
      <c r="B53" s="1" t="s">
        <v>82</v>
      </c>
      <c r="C53" s="1" t="n">
        <f aca="false">D53/1.25</f>
        <v>192000</v>
      </c>
      <c r="D53" s="1" t="n">
        <v>240000</v>
      </c>
      <c r="E53" s="1" t="n">
        <f aca="false">D53-C53</f>
        <v>48000</v>
      </c>
      <c r="F53" s="1" t="n">
        <f aca="false">D53-E53</f>
        <v>192000</v>
      </c>
      <c r="I53" s="16" t="s">
        <v>40</v>
      </c>
      <c r="J53" s="13" t="n">
        <v>260000</v>
      </c>
    </row>
    <row r="54" customFormat="false" ht="15.75" hidden="false" customHeight="true" outlineLevel="0" collapsed="false">
      <c r="A54" s="1" t="s">
        <v>83</v>
      </c>
      <c r="B54" s="1" t="s">
        <v>83</v>
      </c>
      <c r="C54" s="1" t="n">
        <f aca="false">D54/1.25</f>
        <v>200000</v>
      </c>
      <c r="D54" s="1" t="n">
        <v>250000</v>
      </c>
      <c r="E54" s="1" t="n">
        <f aca="false">D54-C54</f>
        <v>50000</v>
      </c>
      <c r="F54" s="1" t="n">
        <f aca="false">D54-E54</f>
        <v>200000</v>
      </c>
      <c r="I54" s="16" t="s">
        <v>85</v>
      </c>
      <c r="J54" s="13" t="n">
        <v>260000</v>
      </c>
    </row>
    <row r="55" customFormat="false" ht="15.75" hidden="false" customHeight="true" outlineLevel="0" collapsed="false">
      <c r="A55" s="1" t="s">
        <v>87</v>
      </c>
      <c r="B55" s="1" t="s">
        <v>87</v>
      </c>
      <c r="C55" s="1" t="n">
        <f aca="false">D55/1.25</f>
        <v>280000</v>
      </c>
      <c r="D55" s="1" t="n">
        <v>350000</v>
      </c>
      <c r="E55" s="1" t="n">
        <f aca="false">D55-C55</f>
        <v>70000</v>
      </c>
      <c r="F55" s="1" t="n">
        <f aca="false">D55-E55</f>
        <v>280000</v>
      </c>
      <c r="I55" s="16" t="s">
        <v>34</v>
      </c>
      <c r="J55" s="13" t="n">
        <v>270000</v>
      </c>
    </row>
    <row r="56" customFormat="false" ht="15.75" hidden="false" customHeight="true" outlineLevel="0" collapsed="false">
      <c r="A56" s="1" t="s">
        <v>88</v>
      </c>
      <c r="B56" s="1" t="s">
        <v>88</v>
      </c>
      <c r="C56" s="1" t="n">
        <f aca="false">D56/1.25</f>
        <v>220000</v>
      </c>
      <c r="D56" s="1" t="n">
        <v>275000</v>
      </c>
      <c r="E56" s="1" t="n">
        <f aca="false">D56-C56</f>
        <v>55000</v>
      </c>
      <c r="F56" s="1" t="n">
        <f aca="false">D56-E56</f>
        <v>220000</v>
      </c>
      <c r="I56" s="16" t="s">
        <v>75</v>
      </c>
      <c r="J56" s="13" t="n">
        <v>275000</v>
      </c>
    </row>
    <row r="57" customFormat="false" ht="15.75" hidden="false" customHeight="true" outlineLevel="0" collapsed="false">
      <c r="A57" s="1" t="s">
        <v>89</v>
      </c>
      <c r="B57" s="1" t="s">
        <v>89</v>
      </c>
      <c r="C57" s="1" t="n">
        <f aca="false">D57/1.25</f>
        <v>232000</v>
      </c>
      <c r="D57" s="1" t="n">
        <v>290000</v>
      </c>
      <c r="E57" s="1" t="n">
        <f aca="false">D57-C57</f>
        <v>58000</v>
      </c>
      <c r="F57" s="1" t="n">
        <f aca="false">D57-E57</f>
        <v>232000</v>
      </c>
      <c r="I57" s="16" t="s">
        <v>88</v>
      </c>
      <c r="J57" s="13" t="n">
        <v>275000</v>
      </c>
    </row>
    <row r="58" customFormat="false" ht="15.75" hidden="false" customHeight="true" outlineLevel="0" collapsed="false">
      <c r="A58" s="1" t="s">
        <v>84</v>
      </c>
      <c r="B58" s="1" t="s">
        <v>84</v>
      </c>
      <c r="C58" s="1" t="n">
        <f aca="false">D58/1.25</f>
        <v>200000</v>
      </c>
      <c r="D58" s="1" t="n">
        <v>250000</v>
      </c>
      <c r="E58" s="1" t="n">
        <f aca="false">D58-C58</f>
        <v>50000</v>
      </c>
      <c r="F58" s="1" t="n">
        <f aca="false">D58-E58</f>
        <v>200000</v>
      </c>
      <c r="I58" s="16" t="s">
        <v>32</v>
      </c>
      <c r="J58" s="13" t="n">
        <v>280000</v>
      </c>
    </row>
    <row r="59" customFormat="false" ht="15.75" hidden="false" customHeight="true" outlineLevel="0" collapsed="false">
      <c r="A59" s="1" t="s">
        <v>69</v>
      </c>
      <c r="B59" s="1" t="s">
        <v>69</v>
      </c>
      <c r="C59" s="1" t="n">
        <f aca="false">D59/1.25</f>
        <v>172000</v>
      </c>
      <c r="D59" s="1" t="n">
        <v>215000</v>
      </c>
      <c r="E59" s="1" t="n">
        <f aca="false">D59-C59</f>
        <v>43000</v>
      </c>
      <c r="F59" s="1" t="n">
        <f aca="false">D59-E59</f>
        <v>172000</v>
      </c>
      <c r="I59" s="16" t="s">
        <v>42</v>
      </c>
      <c r="J59" s="13" t="n">
        <v>280000</v>
      </c>
    </row>
    <row r="60" customFormat="false" ht="15.75" hidden="false" customHeight="true" outlineLevel="0" collapsed="false">
      <c r="A60" s="1" t="s">
        <v>70</v>
      </c>
      <c r="B60" s="1" t="s">
        <v>70</v>
      </c>
      <c r="C60" s="1" t="n">
        <f aca="false">D60/1.25</f>
        <v>172000</v>
      </c>
      <c r="D60" s="1" t="n">
        <v>215000</v>
      </c>
      <c r="E60" s="1" t="n">
        <f aca="false">D60-C60</f>
        <v>43000</v>
      </c>
      <c r="F60" s="1" t="n">
        <f aca="false">D60-E60</f>
        <v>172000</v>
      </c>
      <c r="I60" s="16" t="s">
        <v>44</v>
      </c>
      <c r="J60" s="13" t="n">
        <v>280000</v>
      </c>
    </row>
    <row r="61" customFormat="false" ht="15.75" hidden="false" customHeight="true" outlineLevel="0" collapsed="false">
      <c r="A61" s="5" t="s">
        <v>78</v>
      </c>
      <c r="B61" s="5" t="s">
        <v>78</v>
      </c>
      <c r="C61" s="6" t="n">
        <f aca="false">D61/1.25</f>
        <v>180000</v>
      </c>
      <c r="D61" s="6" t="n">
        <v>225000</v>
      </c>
      <c r="E61" s="6" t="n">
        <f aca="false">D61-C61</f>
        <v>45000</v>
      </c>
      <c r="F61" s="5" t="n">
        <f aca="false">D61-E61</f>
        <v>180000</v>
      </c>
      <c r="I61" s="16" t="s">
        <v>89</v>
      </c>
      <c r="J61" s="13" t="n">
        <v>290000</v>
      </c>
    </row>
    <row r="62" customFormat="false" ht="15.75" hidden="false" customHeight="true" outlineLevel="0" collapsed="false">
      <c r="A62" s="5" t="s">
        <v>29</v>
      </c>
      <c r="B62" s="5" t="s">
        <v>29</v>
      </c>
      <c r="C62" s="6" t="n">
        <f aca="false">D62/1.25</f>
        <v>116000</v>
      </c>
      <c r="D62" s="6" t="n">
        <v>145000</v>
      </c>
      <c r="E62" s="6" t="n">
        <f aca="false">D62-C62</f>
        <v>29000</v>
      </c>
      <c r="F62" s="5" t="n">
        <f aca="false">D62-E62</f>
        <v>116000</v>
      </c>
      <c r="I62" s="16" t="s">
        <v>16</v>
      </c>
      <c r="J62" s="13" t="n">
        <v>300000</v>
      </c>
    </row>
    <row r="63" customFormat="false" ht="15.75" hidden="false" customHeight="true" outlineLevel="0" collapsed="false">
      <c r="A63" s="5" t="s">
        <v>15</v>
      </c>
      <c r="B63" s="5" t="s">
        <v>15</v>
      </c>
      <c r="C63" s="6" t="n">
        <f aca="false">D63/1.25</f>
        <v>56000</v>
      </c>
      <c r="D63" s="6" t="n">
        <v>70000</v>
      </c>
      <c r="E63" s="6" t="n">
        <f aca="false">D63-C63</f>
        <v>14000</v>
      </c>
      <c r="F63" s="5" t="n">
        <f aca="false">D63-E63</f>
        <v>56000</v>
      </c>
      <c r="I63" s="16" t="s">
        <v>20</v>
      </c>
      <c r="J63" s="13" t="n">
        <v>300000</v>
      </c>
    </row>
    <row r="64" customFormat="false" ht="15.75" hidden="false" customHeight="true" outlineLevel="0" collapsed="false">
      <c r="A64" s="5" t="s">
        <v>41</v>
      </c>
      <c r="B64" s="5" t="s">
        <v>41</v>
      </c>
      <c r="C64" s="6" t="n">
        <f aca="false">D64/1.25</f>
        <v>130400</v>
      </c>
      <c r="D64" s="6" t="n">
        <v>163000</v>
      </c>
      <c r="E64" s="6" t="n">
        <f aca="false">D64-C64</f>
        <v>32600</v>
      </c>
      <c r="F64" s="5" t="n">
        <f aca="false">D64-E64</f>
        <v>130400</v>
      </c>
      <c r="I64" s="16" t="s">
        <v>68</v>
      </c>
      <c r="J64" s="13" t="n">
        <v>300000</v>
      </c>
    </row>
    <row r="65" customFormat="false" ht="15.75" hidden="false" customHeight="true" outlineLevel="0" collapsed="false">
      <c r="A65" s="5" t="s">
        <v>90</v>
      </c>
      <c r="B65" s="5" t="s">
        <v>90</v>
      </c>
      <c r="C65" s="6" t="n">
        <f aca="false">D65/1.25</f>
        <v>350400</v>
      </c>
      <c r="D65" s="6" t="n">
        <v>438000</v>
      </c>
      <c r="E65" s="6" t="n">
        <f aca="false">D65-C65</f>
        <v>87600</v>
      </c>
      <c r="F65" s="5" t="n">
        <f aca="false">D65-E65</f>
        <v>350400</v>
      </c>
      <c r="I65" s="16" t="s">
        <v>71</v>
      </c>
      <c r="J65" s="13" t="n">
        <v>300000</v>
      </c>
    </row>
    <row r="66" customFormat="false" ht="15.75" hidden="false" customHeight="true" outlineLevel="0" collapsed="false">
      <c r="A66" s="5" t="s">
        <v>91</v>
      </c>
      <c r="B66" s="5" t="s">
        <v>91</v>
      </c>
      <c r="C66" s="6" t="n">
        <f aca="false">D66/1.25</f>
        <v>480000</v>
      </c>
      <c r="D66" s="6" t="n">
        <v>600000</v>
      </c>
      <c r="E66" s="6" t="n">
        <f aca="false">D66-C66</f>
        <v>120000</v>
      </c>
      <c r="F66" s="5" t="n">
        <f aca="false">D66-E66</f>
        <v>480000</v>
      </c>
      <c r="I66" s="16" t="s">
        <v>92</v>
      </c>
      <c r="J66" s="13" t="n">
        <v>300000</v>
      </c>
    </row>
    <row r="67" customFormat="false" ht="15.75" hidden="false" customHeight="true" outlineLevel="0" collapsed="false">
      <c r="A67" s="5" t="s">
        <v>53</v>
      </c>
      <c r="B67" s="5" t="s">
        <v>53</v>
      </c>
      <c r="C67" s="6" t="n">
        <f aca="false">D67/1.25</f>
        <v>144800</v>
      </c>
      <c r="D67" s="6" t="n">
        <v>181000</v>
      </c>
      <c r="E67" s="6" t="n">
        <f aca="false">D67-C67</f>
        <v>36200</v>
      </c>
      <c r="F67" s="5" t="n">
        <f aca="false">D67-E67</f>
        <v>144800</v>
      </c>
      <c r="I67" s="16" t="s">
        <v>46</v>
      </c>
      <c r="J67" s="13" t="n">
        <v>320000</v>
      </c>
    </row>
    <row r="68" customFormat="false" ht="15.75" hidden="false" customHeight="true" outlineLevel="0" collapsed="false">
      <c r="A68" s="5" t="s">
        <v>33</v>
      </c>
      <c r="B68" s="5" t="s">
        <v>33</v>
      </c>
      <c r="C68" s="6" t="n">
        <f aca="false">D68/1.25</f>
        <v>120000</v>
      </c>
      <c r="D68" s="6" t="n">
        <v>150000</v>
      </c>
      <c r="E68" s="6" t="n">
        <f aca="false">D68-C68</f>
        <v>30000</v>
      </c>
      <c r="F68" s="5" t="n">
        <f aca="false">D68-E68</f>
        <v>120000</v>
      </c>
      <c r="I68" s="16" t="s">
        <v>73</v>
      </c>
      <c r="J68" s="13" t="n">
        <v>320000</v>
      </c>
    </row>
    <row r="69" customFormat="false" ht="15.75" hidden="false" customHeight="true" outlineLevel="0" collapsed="false">
      <c r="A69" s="5" t="s">
        <v>81</v>
      </c>
      <c r="B69" s="5" t="s">
        <v>81</v>
      </c>
      <c r="C69" s="6" t="n">
        <f aca="false">D69/1.25</f>
        <v>190400</v>
      </c>
      <c r="D69" s="6" t="n">
        <v>238000</v>
      </c>
      <c r="E69" s="6" t="n">
        <f aca="false">D69-C69</f>
        <v>47600</v>
      </c>
      <c r="F69" s="5" t="n">
        <f aca="false">D69-E69</f>
        <v>190400</v>
      </c>
      <c r="I69" s="16" t="s">
        <v>14</v>
      </c>
      <c r="J69" s="13" t="n">
        <v>330000</v>
      </c>
    </row>
    <row r="70" customFormat="false" ht="15.75" hidden="false" customHeight="true" outlineLevel="0" collapsed="false">
      <c r="A70" s="5" t="s">
        <v>58</v>
      </c>
      <c r="B70" s="5" t="s">
        <v>58</v>
      </c>
      <c r="C70" s="6" t="n">
        <f aca="false">D70/1.25</f>
        <v>150400</v>
      </c>
      <c r="D70" s="6" t="n">
        <v>188000</v>
      </c>
      <c r="E70" s="6" t="n">
        <f aca="false">D70-C70</f>
        <v>37600</v>
      </c>
      <c r="F70" s="5" t="n">
        <f aca="false">D70-E70</f>
        <v>150400</v>
      </c>
      <c r="I70" s="16" t="s">
        <v>59</v>
      </c>
      <c r="J70" s="13" t="n">
        <v>340000</v>
      </c>
    </row>
    <row r="71" customFormat="false" ht="15.75" hidden="false" customHeight="true" outlineLevel="0" collapsed="false">
      <c r="A71" s="5" t="s">
        <v>86</v>
      </c>
      <c r="B71" s="5" t="s">
        <v>86</v>
      </c>
      <c r="C71" s="6" t="n">
        <f aca="false">D71/1.25</f>
        <v>200000</v>
      </c>
      <c r="D71" s="6" t="n">
        <v>250000</v>
      </c>
      <c r="E71" s="6" t="n">
        <f aca="false">D71-C71</f>
        <v>50000</v>
      </c>
      <c r="F71" s="5" t="n">
        <f aca="false">D71-E71</f>
        <v>200000</v>
      </c>
      <c r="I71" s="16" t="s">
        <v>87</v>
      </c>
      <c r="J71" s="13" t="n">
        <v>350000</v>
      </c>
    </row>
    <row r="72" customFormat="false" ht="15.75" hidden="false" customHeight="true" outlineLevel="0" collapsed="false">
      <c r="A72" s="5" t="s">
        <v>92</v>
      </c>
      <c r="B72" s="5" t="s">
        <v>92</v>
      </c>
      <c r="C72" s="6" t="n">
        <f aca="false">D72/1.25</f>
        <v>240000</v>
      </c>
      <c r="D72" s="6" t="n">
        <v>300000</v>
      </c>
      <c r="E72" s="6" t="n">
        <f aca="false">D72-C72</f>
        <v>60000</v>
      </c>
      <c r="F72" s="5" t="n">
        <f aca="false">D72-E72</f>
        <v>240000</v>
      </c>
      <c r="I72" s="16" t="s">
        <v>26</v>
      </c>
      <c r="J72" s="13" t="n">
        <v>360000</v>
      </c>
    </row>
    <row r="73" customFormat="false" ht="15.75" hidden="false" customHeight="true" outlineLevel="0" collapsed="false">
      <c r="A73" s="5" t="s">
        <v>66</v>
      </c>
      <c r="B73" s="5" t="s">
        <v>66</v>
      </c>
      <c r="C73" s="6" t="n">
        <f aca="false">D73/1.25</f>
        <v>160000</v>
      </c>
      <c r="D73" s="6" t="n">
        <v>200000</v>
      </c>
      <c r="E73" s="6" t="n">
        <f aca="false">D73-C73</f>
        <v>40000</v>
      </c>
      <c r="F73" s="5" t="n">
        <f aca="false">D73-E73</f>
        <v>160000</v>
      </c>
      <c r="I73" s="16" t="s">
        <v>93</v>
      </c>
      <c r="J73" s="13" t="n">
        <v>400000</v>
      </c>
    </row>
    <row r="74" customFormat="false" ht="15.75" hidden="false" customHeight="true" outlineLevel="0" collapsed="false">
      <c r="A74" s="5" t="s">
        <v>47</v>
      </c>
      <c r="B74" s="5" t="s">
        <v>47</v>
      </c>
      <c r="C74" s="6" t="n">
        <f aca="false">D74/1.25</f>
        <v>140000</v>
      </c>
      <c r="D74" s="6" t="n">
        <v>175000</v>
      </c>
      <c r="E74" s="6" t="n">
        <f aca="false">D74-C74</f>
        <v>35000</v>
      </c>
      <c r="F74" s="5" t="n">
        <f aca="false">D74-E74</f>
        <v>140000</v>
      </c>
      <c r="I74" s="12" t="s">
        <v>90</v>
      </c>
      <c r="J74" s="13" t="n">
        <v>438000</v>
      </c>
    </row>
    <row r="75" customFormat="false" ht="15.75" hidden="false" customHeight="true" outlineLevel="0" collapsed="false">
      <c r="A75" s="5" t="s">
        <v>79</v>
      </c>
      <c r="B75" s="5" t="s">
        <v>79</v>
      </c>
      <c r="C75" s="6" t="n">
        <f aca="false">D75/1.25</f>
        <v>180000</v>
      </c>
      <c r="D75" s="6" t="n">
        <v>225000</v>
      </c>
      <c r="E75" s="6" t="n">
        <f aca="false">D75-C75</f>
        <v>45000</v>
      </c>
      <c r="F75" s="5" t="n">
        <f aca="false">D75-E75</f>
        <v>180000</v>
      </c>
      <c r="I75" s="16" t="s">
        <v>94</v>
      </c>
      <c r="J75" s="13" t="n">
        <v>438000</v>
      </c>
    </row>
    <row r="76" customFormat="false" ht="15.75" hidden="false" customHeight="true" outlineLevel="0" collapsed="false">
      <c r="A76" s="5" t="s">
        <v>72</v>
      </c>
      <c r="B76" s="5" t="s">
        <v>72</v>
      </c>
      <c r="C76" s="6" t="n">
        <f aca="false">D76/1.25</f>
        <v>175200</v>
      </c>
      <c r="D76" s="6" t="n">
        <v>219000</v>
      </c>
      <c r="E76" s="6" t="n">
        <f aca="false">D76-C76</f>
        <v>43800</v>
      </c>
      <c r="F76" s="5" t="n">
        <f aca="false">D76-E76</f>
        <v>175200</v>
      </c>
      <c r="I76" s="12" t="s">
        <v>43</v>
      </c>
      <c r="J76" s="13" t="n">
        <v>460000</v>
      </c>
    </row>
    <row r="77" customFormat="false" ht="15.75" hidden="false" customHeight="true" outlineLevel="0" collapsed="false">
      <c r="A77" s="5" t="s">
        <v>94</v>
      </c>
      <c r="B77" s="5" t="s">
        <v>94</v>
      </c>
      <c r="C77" s="6" t="n">
        <f aca="false">D77/1.25</f>
        <v>350400</v>
      </c>
      <c r="D77" s="6" t="n">
        <v>438000</v>
      </c>
      <c r="E77" s="6" t="n">
        <f aca="false">D77-C77</f>
        <v>87600</v>
      </c>
      <c r="F77" s="5" t="n">
        <f aca="false">D77-E77</f>
        <v>350400</v>
      </c>
      <c r="I77" s="16" t="s">
        <v>24</v>
      </c>
      <c r="J77" s="13" t="n">
        <v>470000</v>
      </c>
    </row>
    <row r="78" customFormat="false" ht="15.75" hidden="false" customHeight="true" outlineLevel="0" collapsed="false">
      <c r="A78" s="5" t="s">
        <v>95</v>
      </c>
      <c r="B78" s="5" t="s">
        <v>95</v>
      </c>
      <c r="C78" s="6" t="n">
        <f aca="false">D78/1.25</f>
        <v>440000</v>
      </c>
      <c r="D78" s="6" t="n">
        <v>550000</v>
      </c>
      <c r="E78" s="6" t="n">
        <f aca="false">D78-C78</f>
        <v>110000</v>
      </c>
      <c r="F78" s="5" t="n">
        <f aca="false">D78-E78</f>
        <v>440000</v>
      </c>
      <c r="I78" s="16" t="s">
        <v>67</v>
      </c>
      <c r="J78" s="13" t="n">
        <v>475000</v>
      </c>
    </row>
    <row r="79" customFormat="false" ht="15.75" hidden="false" customHeight="true" outlineLevel="0" collapsed="false">
      <c r="A79" s="5" t="s">
        <v>96</v>
      </c>
      <c r="B79" s="5" t="s">
        <v>96</v>
      </c>
      <c r="C79" s="6" t="n">
        <f aca="false">D79/1.25</f>
        <v>400000</v>
      </c>
      <c r="D79" s="6" t="n">
        <v>500000</v>
      </c>
      <c r="E79" s="6" t="n">
        <f aca="false">D79-C79</f>
        <v>100000</v>
      </c>
      <c r="F79" s="5" t="n">
        <f aca="false">D79-E79</f>
        <v>400000</v>
      </c>
      <c r="I79" s="16" t="s">
        <v>48</v>
      </c>
      <c r="J79" s="13" t="n">
        <v>480000</v>
      </c>
    </row>
    <row r="80" customFormat="false" ht="15.75" hidden="false" customHeight="true" outlineLevel="0" collapsed="false">
      <c r="A80" s="5" t="s">
        <v>93</v>
      </c>
      <c r="B80" s="5" t="s">
        <v>93</v>
      </c>
      <c r="C80" s="6" t="n">
        <f aca="false">D80/1.25</f>
        <v>320000</v>
      </c>
      <c r="D80" s="6" t="n">
        <v>400000</v>
      </c>
      <c r="E80" s="6" t="n">
        <f aca="false">D80-C80</f>
        <v>80000</v>
      </c>
      <c r="F80" s="5" t="n">
        <f aca="false">D80-E80</f>
        <v>320000</v>
      </c>
      <c r="I80" s="16" t="s">
        <v>28</v>
      </c>
      <c r="J80" s="13" t="n">
        <v>500000</v>
      </c>
    </row>
    <row r="81" customFormat="false" ht="15.75" hidden="false" customHeight="true" outlineLevel="0" collapsed="false">
      <c r="A81" s="5" t="s">
        <v>35</v>
      </c>
      <c r="B81" s="5" t="s">
        <v>35</v>
      </c>
      <c r="C81" s="6" t="n">
        <f aca="false">D81/1.25</f>
        <v>120000</v>
      </c>
      <c r="D81" s="6" t="n">
        <v>150000</v>
      </c>
      <c r="E81" s="6" t="n">
        <f aca="false">D81-C81</f>
        <v>30000</v>
      </c>
      <c r="F81" s="5" t="n">
        <f aca="false">D81-E81</f>
        <v>120000</v>
      </c>
      <c r="I81" s="16" t="s">
        <v>96</v>
      </c>
      <c r="J81" s="13" t="n">
        <v>500000</v>
      </c>
    </row>
    <row r="82" customFormat="false" ht="15.75" hidden="false" customHeight="true" outlineLevel="0" collapsed="false">
      <c r="A82" s="5" t="s">
        <v>13</v>
      </c>
      <c r="B82" s="5" t="s">
        <v>13</v>
      </c>
      <c r="C82" s="6" t="n">
        <f aca="false">D82/1.25</f>
        <v>44800</v>
      </c>
      <c r="D82" s="6" t="n">
        <v>56000</v>
      </c>
      <c r="E82" s="6" t="n">
        <f aca="false">D82-C82</f>
        <v>11200</v>
      </c>
      <c r="F82" s="5" t="n">
        <f aca="false">D82-E82</f>
        <v>44800</v>
      </c>
      <c r="I82" s="16" t="s">
        <v>65</v>
      </c>
      <c r="J82" s="13" t="n">
        <v>525000</v>
      </c>
    </row>
    <row r="83" customFormat="false" ht="15.75" hidden="false" customHeight="true" outlineLevel="0" collapsed="false">
      <c r="A83" s="5" t="s">
        <v>19</v>
      </c>
      <c r="B83" s="5" t="s">
        <v>19</v>
      </c>
      <c r="C83" s="6" t="n">
        <f aca="false">D83/1.25</f>
        <v>80000</v>
      </c>
      <c r="D83" s="6" t="n">
        <v>100000</v>
      </c>
      <c r="E83" s="6" t="n">
        <f aca="false">D83-C83</f>
        <v>20000</v>
      </c>
      <c r="F83" s="5" t="n">
        <f aca="false">D83-E83</f>
        <v>80000</v>
      </c>
      <c r="I83" s="16" t="s">
        <v>95</v>
      </c>
      <c r="J83" s="13" t="n">
        <v>550000</v>
      </c>
    </row>
    <row r="84" customFormat="false" ht="15.75" hidden="false" customHeight="true" outlineLevel="0" collapsed="false">
      <c r="A84" s="5" t="s">
        <v>80</v>
      </c>
      <c r="B84" s="5" t="s">
        <v>80</v>
      </c>
      <c r="C84" s="6" t="n">
        <f aca="false">D84/1.25</f>
        <v>180000</v>
      </c>
      <c r="D84" s="6" t="n">
        <v>225000</v>
      </c>
      <c r="E84" s="6" t="n">
        <f aca="false">D84-C84</f>
        <v>45000</v>
      </c>
      <c r="F84" s="5" t="n">
        <f aca="false">D84-E84</f>
        <v>180000</v>
      </c>
      <c r="I84" s="16" t="s">
        <v>91</v>
      </c>
      <c r="J84" s="13" t="n">
        <v>600000</v>
      </c>
    </row>
    <row r="85" customFormat="false" ht="15.75" hidden="false" customHeight="true" outlineLevel="0" collapsed="false">
      <c r="A85" s="5" t="s">
        <v>49</v>
      </c>
      <c r="B85" s="5" t="s">
        <v>49</v>
      </c>
      <c r="C85" s="6" t="n">
        <f aca="false">D85/1.25</f>
        <v>140000</v>
      </c>
      <c r="D85" s="6" t="n">
        <v>175000</v>
      </c>
      <c r="E85" s="6" t="n">
        <f aca="false">D85-C85</f>
        <v>35000</v>
      </c>
      <c r="F85" s="5" t="n">
        <f aca="false">D85-E85</f>
        <v>140000</v>
      </c>
      <c r="I85" s="16" t="s">
        <v>63</v>
      </c>
      <c r="J85" s="13" t="n">
        <v>700000</v>
      </c>
    </row>
    <row r="86" customFormat="false" ht="15.75" hidden="false" customHeight="true" outlineLevel="0" collapsed="false">
      <c r="A86" s="5" t="s">
        <v>50</v>
      </c>
      <c r="B86" s="5" t="s">
        <v>50</v>
      </c>
      <c r="C86" s="6" t="n">
        <f aca="false">D86/1.25</f>
        <v>140000</v>
      </c>
      <c r="D86" s="6" t="n">
        <v>175000</v>
      </c>
      <c r="E86" s="6" t="n">
        <f aca="false">D86-C86</f>
        <v>35000</v>
      </c>
      <c r="F86" s="5" t="n">
        <f aca="false">D86-E86</f>
        <v>140000</v>
      </c>
      <c r="I86" s="16"/>
      <c r="J86" s="13"/>
    </row>
    <row r="87" customFormat="false" ht="15.75" hidden="false" customHeight="true" outlineLevel="0" collapsed="false">
      <c r="A87" s="5"/>
      <c r="B87" s="5"/>
      <c r="C87" s="6"/>
      <c r="D87" s="6"/>
      <c r="E87" s="6"/>
      <c r="F87" s="5"/>
      <c r="I87" s="16"/>
      <c r="J87" s="13"/>
    </row>
    <row r="88" customFormat="false" ht="15.75" hidden="false" customHeight="true" outlineLevel="0" collapsed="false">
      <c r="A88" s="5"/>
      <c r="B88" s="5"/>
      <c r="C88" s="6"/>
      <c r="D88" s="6"/>
      <c r="E88" s="6"/>
      <c r="F88" s="5"/>
      <c r="I88" s="16"/>
      <c r="J88" s="13"/>
    </row>
    <row r="89" customFormat="false" ht="15.75" hidden="false" customHeight="true" outlineLevel="0" collapsed="false">
      <c r="A89" s="5"/>
      <c r="B89" s="5"/>
      <c r="C89" s="6"/>
      <c r="D89" s="6"/>
      <c r="E89" s="6"/>
      <c r="F89" s="5"/>
      <c r="I89" s="16"/>
      <c r="J89" s="13"/>
    </row>
    <row r="90" customFormat="false" ht="15.75" hidden="false" customHeight="true" outlineLevel="0" collapsed="false">
      <c r="A90" s="5"/>
      <c r="B90" s="5"/>
      <c r="C90" s="6"/>
      <c r="D90" s="6"/>
      <c r="E90" s="6"/>
      <c r="F90" s="5"/>
      <c r="I90" s="16"/>
      <c r="J90" s="13"/>
    </row>
    <row r="91" customFormat="false" ht="15.75" hidden="false" customHeight="true" outlineLevel="0" collapsed="false">
      <c r="A91" s="5"/>
      <c r="B91" s="5"/>
      <c r="C91" s="6"/>
      <c r="D91" s="6"/>
      <c r="E91" s="6"/>
      <c r="F91" s="5"/>
      <c r="I91" s="16"/>
      <c r="J91" s="13"/>
    </row>
    <row r="92" customFormat="false" ht="15.75" hidden="false" customHeight="true" outlineLevel="0" collapsed="false">
      <c r="A92" s="5"/>
      <c r="B92" s="5"/>
      <c r="C92" s="6"/>
      <c r="D92" s="6"/>
      <c r="E92" s="6"/>
      <c r="F92" s="5"/>
      <c r="I92" s="16"/>
      <c r="J92" s="13"/>
    </row>
    <row r="93" customFormat="false" ht="15.75" hidden="false" customHeight="true" outlineLevel="0" collapsed="false">
      <c r="A93" s="5"/>
      <c r="B93" s="5"/>
      <c r="C93" s="6"/>
      <c r="D93" s="6"/>
      <c r="E93" s="6"/>
      <c r="F93" s="5"/>
      <c r="I93" s="16"/>
      <c r="J93" s="13"/>
    </row>
    <row r="94" customFormat="false" ht="15.75" hidden="false" customHeight="true" outlineLevel="0" collapsed="false">
      <c r="A94" s="5"/>
      <c r="B94" s="5"/>
      <c r="C94" s="6"/>
      <c r="D94" s="6"/>
      <c r="E94" s="6"/>
      <c r="F94" s="5"/>
      <c r="I94" s="16"/>
      <c r="J94" s="13"/>
    </row>
    <row r="95" customFormat="false" ht="15.75" hidden="false" customHeight="true" outlineLevel="0" collapsed="false">
      <c r="A95" s="5"/>
      <c r="B95" s="5"/>
      <c r="C95" s="6"/>
      <c r="D95" s="6"/>
      <c r="E95" s="6"/>
      <c r="F95" s="5"/>
      <c r="I95" s="12"/>
      <c r="J95" s="13"/>
    </row>
    <row r="96" customFormat="false" ht="15.75" hidden="false" customHeight="true" outlineLevel="0" collapsed="false">
      <c r="A96" s="5"/>
      <c r="B96" s="5"/>
      <c r="C96" s="6"/>
      <c r="D96" s="6"/>
      <c r="E96" s="6"/>
      <c r="F96" s="5"/>
      <c r="I96" s="16"/>
      <c r="J96" s="13"/>
    </row>
    <row r="97" customFormat="false" ht="15.75" hidden="false" customHeight="true" outlineLevel="0" collapsed="false">
      <c r="A97" s="5"/>
      <c r="B97" s="5"/>
      <c r="C97" s="6"/>
      <c r="D97" s="6"/>
      <c r="E97" s="6"/>
      <c r="F97" s="5"/>
      <c r="I97" s="16"/>
      <c r="J97" s="13"/>
    </row>
    <row r="98" customFormat="false" ht="15.75" hidden="false" customHeight="true" outlineLevel="0" collapsed="false">
      <c r="A98" s="5"/>
      <c r="B98" s="5"/>
      <c r="C98" s="6"/>
      <c r="D98" s="6"/>
      <c r="E98" s="6"/>
      <c r="F98" s="5"/>
      <c r="I98" s="16"/>
      <c r="J98" s="13"/>
    </row>
    <row r="99" customFormat="false" ht="15.75" hidden="false" customHeight="true" outlineLevel="0" collapsed="false">
      <c r="A99" s="5"/>
      <c r="B99" s="5"/>
      <c r="C99" s="6"/>
      <c r="D99" s="6"/>
      <c r="E99" s="6"/>
      <c r="F99" s="5"/>
      <c r="I99" s="16"/>
      <c r="J99" s="13"/>
    </row>
    <row r="100" customFormat="false" ht="15.75" hidden="false" customHeight="true" outlineLevel="0" collapsed="false">
      <c r="A100" s="5"/>
      <c r="B100" s="5"/>
      <c r="C100" s="6"/>
      <c r="D100" s="6"/>
      <c r="E100" s="6"/>
      <c r="F100" s="5"/>
      <c r="I100" s="16"/>
      <c r="J100" s="13"/>
    </row>
    <row r="101" customFormat="false" ht="15.75" hidden="false" customHeight="true" outlineLevel="0" collapsed="false">
      <c r="A101" s="5"/>
      <c r="B101" s="5"/>
      <c r="C101" s="6"/>
      <c r="D101" s="6"/>
      <c r="E101" s="6"/>
      <c r="F101" s="5"/>
      <c r="I101" s="16"/>
      <c r="J101" s="13"/>
    </row>
    <row r="102" customFormat="false" ht="15.75" hidden="false" customHeight="true" outlineLevel="0" collapsed="false">
      <c r="A102" s="5"/>
      <c r="B102" s="5"/>
      <c r="C102" s="6"/>
      <c r="D102" s="6"/>
      <c r="E102" s="6"/>
      <c r="F102" s="5"/>
      <c r="I102" s="16"/>
      <c r="J102" s="13"/>
    </row>
    <row r="103" customFormat="false" ht="15.75" hidden="false" customHeight="true" outlineLevel="0" collapsed="false">
      <c r="A103" s="5"/>
      <c r="B103" s="5"/>
      <c r="C103" s="6"/>
      <c r="D103" s="6"/>
      <c r="E103" s="6"/>
      <c r="F103" s="5"/>
      <c r="I103" s="16"/>
      <c r="J103" s="13"/>
    </row>
    <row r="104" customFormat="false" ht="15.75" hidden="false" customHeight="true" outlineLevel="0" collapsed="false">
      <c r="A104" s="5"/>
      <c r="B104" s="5"/>
      <c r="C104" s="6"/>
      <c r="D104" s="6"/>
      <c r="E104" s="6"/>
      <c r="F104" s="5"/>
      <c r="I104" s="16"/>
      <c r="J104" s="13"/>
    </row>
    <row r="105" customFormat="false" ht="15.75" hidden="false" customHeight="true" outlineLevel="0" collapsed="false">
      <c r="A105" s="5"/>
      <c r="B105" s="5"/>
      <c r="C105" s="6"/>
      <c r="D105" s="6"/>
      <c r="E105" s="6"/>
      <c r="F105" s="5"/>
      <c r="I105" s="16"/>
      <c r="J105" s="13"/>
    </row>
    <row r="106" customFormat="false" ht="15.75" hidden="false" customHeight="true" outlineLevel="0" collapsed="false">
      <c r="A106" s="5"/>
      <c r="B106" s="5"/>
      <c r="C106" s="6"/>
      <c r="D106" s="6"/>
      <c r="E106" s="6"/>
      <c r="F106" s="5"/>
      <c r="I106" s="16"/>
      <c r="J106" s="13"/>
    </row>
    <row r="107" customFormat="false" ht="15.75" hidden="false" customHeight="true" outlineLevel="0" collapsed="false">
      <c r="A107" s="5"/>
      <c r="B107" s="5"/>
      <c r="C107" s="6"/>
      <c r="D107" s="6"/>
      <c r="E107" s="6"/>
      <c r="F107" s="5"/>
      <c r="I107" s="16"/>
      <c r="J107" s="13"/>
    </row>
    <row r="108" customFormat="false" ht="15.75" hidden="false" customHeight="true" outlineLevel="0" collapsed="false">
      <c r="A108" s="5"/>
      <c r="B108" s="5"/>
      <c r="C108" s="6"/>
      <c r="D108" s="6"/>
      <c r="E108" s="6"/>
      <c r="F108" s="5"/>
      <c r="I108" s="16"/>
      <c r="J108" s="13"/>
    </row>
    <row r="109" customFormat="false" ht="15.75" hidden="false" customHeight="true" outlineLevel="0" collapsed="false">
      <c r="A109" s="5"/>
      <c r="B109" s="5"/>
      <c r="C109" s="6"/>
      <c r="D109" s="6"/>
      <c r="E109" s="6"/>
      <c r="F109" s="5"/>
      <c r="I109" s="16"/>
      <c r="J109" s="13"/>
    </row>
    <row r="110" customFormat="false" ht="15.75" hidden="false" customHeight="true" outlineLevel="0" collapsed="false">
      <c r="A110" s="5"/>
      <c r="B110" s="5"/>
      <c r="C110" s="6"/>
      <c r="D110" s="6"/>
      <c r="E110" s="6"/>
      <c r="F110" s="5"/>
      <c r="I110" s="16"/>
      <c r="J110" s="13"/>
    </row>
    <row r="111" customFormat="false" ht="15.75" hidden="false" customHeight="true" outlineLevel="0" collapsed="false">
      <c r="A111" s="5"/>
      <c r="B111" s="5"/>
      <c r="C111" s="6"/>
      <c r="D111" s="6"/>
      <c r="E111" s="6"/>
      <c r="F111" s="5"/>
      <c r="I111" s="16"/>
      <c r="J111" s="13"/>
    </row>
    <row r="112" customFormat="false" ht="15.75" hidden="false" customHeight="true" outlineLevel="0" collapsed="false">
      <c r="A112" s="5"/>
      <c r="B112" s="5"/>
      <c r="C112" s="6"/>
      <c r="D112" s="6"/>
      <c r="E112" s="6"/>
      <c r="F112" s="5"/>
      <c r="I112" s="16"/>
      <c r="J112" s="13"/>
    </row>
    <row r="113" customFormat="false" ht="15.75" hidden="false" customHeight="true" outlineLevel="0" collapsed="false">
      <c r="A113" s="5"/>
      <c r="B113" s="5"/>
      <c r="C113" s="6"/>
      <c r="D113" s="6"/>
      <c r="E113" s="6"/>
      <c r="F113" s="5"/>
      <c r="I113" s="16"/>
      <c r="J113" s="13"/>
    </row>
    <row r="114" customFormat="false" ht="15.75" hidden="false" customHeight="true" outlineLevel="0" collapsed="false">
      <c r="A114" s="5"/>
      <c r="B114" s="5"/>
      <c r="C114" s="6"/>
      <c r="D114" s="6"/>
      <c r="E114" s="6"/>
      <c r="F114" s="5"/>
      <c r="I114" s="16"/>
      <c r="J114" s="13"/>
    </row>
    <row r="115" customFormat="false" ht="15.75" hidden="false" customHeight="true" outlineLevel="0" collapsed="false">
      <c r="A115" s="5"/>
      <c r="B115" s="5"/>
      <c r="C115" s="6"/>
      <c r="D115" s="6"/>
      <c r="E115" s="6"/>
      <c r="F115" s="5"/>
      <c r="I115" s="16"/>
      <c r="J115" s="13"/>
    </row>
    <row r="116" customFormat="false" ht="15.75" hidden="false" customHeight="true" outlineLevel="0" collapsed="false">
      <c r="A116" s="5"/>
      <c r="B116" s="5"/>
      <c r="C116" s="6"/>
      <c r="D116" s="6"/>
      <c r="E116" s="6"/>
      <c r="F116" s="5"/>
      <c r="I116" s="16"/>
      <c r="J116" s="13"/>
    </row>
    <row r="117" customFormat="false" ht="15.75" hidden="false" customHeight="true" outlineLevel="0" collapsed="false">
      <c r="A117" s="5"/>
      <c r="B117" s="5"/>
      <c r="C117" s="6"/>
      <c r="D117" s="6"/>
      <c r="E117" s="6"/>
      <c r="F117" s="5"/>
      <c r="I117" s="16"/>
      <c r="J117" s="13"/>
    </row>
    <row r="118" customFormat="false" ht="15.75" hidden="false" customHeight="true" outlineLevel="0" collapsed="false">
      <c r="A118" s="5"/>
      <c r="B118" s="5"/>
      <c r="C118" s="6"/>
      <c r="D118" s="6"/>
      <c r="E118" s="6"/>
      <c r="F118" s="5"/>
      <c r="I118" s="16"/>
      <c r="J118" s="13"/>
    </row>
    <row r="119" customFormat="false" ht="15.75" hidden="false" customHeight="true" outlineLevel="0" collapsed="false">
      <c r="A119" s="5"/>
      <c r="B119" s="5"/>
      <c r="C119" s="6"/>
      <c r="D119" s="6"/>
      <c r="E119" s="6"/>
      <c r="F119" s="5"/>
      <c r="I119" s="16"/>
      <c r="J119" s="13"/>
    </row>
    <row r="120" customFormat="false" ht="15.75" hidden="false" customHeight="true" outlineLevel="0" collapsed="false">
      <c r="A120" s="5"/>
      <c r="B120" s="5"/>
      <c r="C120" s="6"/>
      <c r="D120" s="6"/>
      <c r="E120" s="6"/>
      <c r="F120" s="5"/>
      <c r="I120" s="16"/>
      <c r="J120" s="13"/>
    </row>
    <row r="121" customFormat="false" ht="15.75" hidden="false" customHeight="true" outlineLevel="0" collapsed="false">
      <c r="A121" s="5"/>
      <c r="B121" s="5"/>
      <c r="C121" s="6"/>
      <c r="D121" s="6"/>
      <c r="E121" s="6"/>
      <c r="F121" s="5"/>
      <c r="I121" s="16"/>
      <c r="J121" s="13"/>
    </row>
    <row r="122" customFormat="false" ht="15.75" hidden="false" customHeight="true" outlineLevel="0" collapsed="false">
      <c r="A122" s="5"/>
      <c r="B122" s="5"/>
      <c r="C122" s="6"/>
      <c r="D122" s="6"/>
      <c r="E122" s="6"/>
      <c r="F122" s="5"/>
      <c r="I122" s="16"/>
      <c r="J122" s="13"/>
    </row>
    <row r="123" customFormat="false" ht="15.75" hidden="false" customHeight="true" outlineLevel="0" collapsed="false">
      <c r="A123" s="5"/>
      <c r="B123" s="5"/>
      <c r="C123" s="6"/>
      <c r="D123" s="6"/>
      <c r="E123" s="6"/>
      <c r="F123" s="5"/>
      <c r="I123" s="16"/>
      <c r="J123" s="13"/>
    </row>
    <row r="124" customFormat="false" ht="15.75" hidden="false" customHeight="true" outlineLevel="0" collapsed="false">
      <c r="A124" s="5"/>
      <c r="B124" s="5"/>
      <c r="C124" s="6"/>
      <c r="D124" s="6"/>
      <c r="E124" s="6"/>
      <c r="F124" s="5"/>
      <c r="I124" s="16"/>
      <c r="J124" s="13"/>
    </row>
    <row r="125" customFormat="false" ht="15.75" hidden="false" customHeight="true" outlineLevel="0" collapsed="false">
      <c r="A125" s="5"/>
      <c r="B125" s="5"/>
      <c r="C125" s="6"/>
      <c r="D125" s="6"/>
      <c r="E125" s="6"/>
      <c r="F125" s="5"/>
      <c r="I125" s="16"/>
      <c r="J125" s="13"/>
    </row>
    <row r="126" customFormat="false" ht="15.75" hidden="false" customHeight="true" outlineLevel="0" collapsed="false">
      <c r="A126" s="5"/>
      <c r="B126" s="5"/>
      <c r="C126" s="6"/>
      <c r="D126" s="6"/>
      <c r="E126" s="6"/>
      <c r="F126" s="5"/>
      <c r="I126" s="16"/>
      <c r="J126" s="13"/>
    </row>
    <row r="127" customFormat="false" ht="15.75" hidden="false" customHeight="true" outlineLevel="0" collapsed="false">
      <c r="A127" s="5"/>
      <c r="B127" s="5"/>
      <c r="C127" s="6"/>
      <c r="D127" s="6"/>
      <c r="E127" s="6"/>
      <c r="F127" s="5"/>
      <c r="I127" s="16"/>
      <c r="J127" s="13"/>
    </row>
    <row r="128" customFormat="false" ht="15.75" hidden="false" customHeight="true" outlineLevel="0" collapsed="false">
      <c r="A128" s="5"/>
      <c r="B128" s="5"/>
      <c r="C128" s="6"/>
      <c r="D128" s="6"/>
      <c r="E128" s="6"/>
      <c r="F128" s="5"/>
      <c r="I128" s="16"/>
      <c r="J128" s="13"/>
    </row>
    <row r="129" customFormat="false" ht="15.75" hidden="false" customHeight="true" outlineLevel="0" collapsed="false">
      <c r="A129" s="5"/>
      <c r="B129" s="5"/>
      <c r="C129" s="6"/>
      <c r="D129" s="6"/>
      <c r="E129" s="6"/>
      <c r="F129" s="5"/>
      <c r="I129" s="16"/>
      <c r="J129" s="13"/>
    </row>
    <row r="130" customFormat="false" ht="15.75" hidden="false" customHeight="true" outlineLevel="0" collapsed="false">
      <c r="A130" s="5"/>
      <c r="B130" s="5"/>
      <c r="C130" s="6"/>
      <c r="D130" s="6"/>
      <c r="E130" s="6"/>
      <c r="F130" s="5"/>
      <c r="I130" s="16"/>
      <c r="J130" s="13"/>
    </row>
    <row r="131" customFormat="false" ht="15.75" hidden="false" customHeight="true" outlineLevel="0" collapsed="false">
      <c r="A131" s="5"/>
      <c r="B131" s="5"/>
      <c r="C131" s="6"/>
      <c r="D131" s="6"/>
      <c r="E131" s="6"/>
      <c r="F131" s="5"/>
      <c r="I131" s="16"/>
      <c r="J131" s="13"/>
    </row>
    <row r="132" customFormat="false" ht="15.75" hidden="false" customHeight="true" outlineLevel="0" collapsed="false">
      <c r="A132" s="5"/>
      <c r="B132" s="5"/>
      <c r="C132" s="6"/>
      <c r="D132" s="6"/>
      <c r="E132" s="6"/>
      <c r="F132" s="5"/>
      <c r="I132" s="16"/>
      <c r="J132" s="13"/>
    </row>
    <row r="133" customFormat="false" ht="15.75" hidden="false" customHeight="true" outlineLevel="0" collapsed="false">
      <c r="A133" s="5"/>
      <c r="B133" s="5"/>
      <c r="C133" s="6"/>
      <c r="D133" s="6"/>
      <c r="E133" s="6"/>
      <c r="F1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2026-03-28T15:44:11Z</dcterms:created>
  <dc:creator>openpyxl</dc:creator>
  <dc:description/>
  <dc:language>en-US</dc:language>
  <cp:lastModifiedBy/>
  <dcterms:modified xsi:type="dcterms:W3CDTF">2026-03-28T15:44:30Z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